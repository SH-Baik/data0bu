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fmarketing-my.sharepoint.com/personal/zau0hon_bfmarketing_onmicrosoft_com/Documents/바탕 화면/실습결과/"/>
    </mc:Choice>
  </mc:AlternateContent>
  <xr:revisionPtr revIDLastSave="5368" documentId="8_{24AC624C-51D0-431B-B32A-B34E6B8ED31F}" xr6:coauthVersionLast="47" xr6:coauthVersionMax="47" xr10:uidLastSave="{21963323-BA8D-4332-8D1B-52CC2A7EE714}"/>
  <bookViews>
    <workbookView xWindow="-120" yWindow="-120" windowWidth="29040" windowHeight="15720" activeTab="1" xr2:uid="{AF413C3D-7BE7-4E2A-8752-C43BB98FCD68}"/>
  </bookViews>
  <sheets>
    <sheet name="data" sheetId="3" r:id="rId1"/>
    <sheet name="data (2)" sheetId="4" r:id="rId2"/>
  </sheets>
  <definedNames>
    <definedName name="Accuracy">'data (2)'!$Y$21</definedName>
    <definedName name="cut">'data (2)'!$Y$20</definedName>
    <definedName name="F1_score">'data (2)'!$Y$24</definedName>
    <definedName name="FN">'data (2)'!$AD$4</definedName>
    <definedName name="FP">'data (2)'!$AC$5</definedName>
    <definedName name="Precision">'data (2)'!$Y$22</definedName>
    <definedName name="Recall">'data (2)'!$Y$23</definedName>
    <definedName name="solver_adj" localSheetId="0" hidden="1">data!#REF!</definedName>
    <definedName name="solver_adj" localSheetId="1" hidden="1">'data (2)'!$Y$2:$Y$18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3</definedName>
    <definedName name="solver_eng" localSheetId="1" hidden="1">3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data!#REF!</definedName>
    <definedName name="solver_lhs1" localSheetId="1" hidden="1">'data (2)'!$Y$2:$Y$18</definedName>
    <definedName name="solver_lhs2" localSheetId="0" hidden="1">data!#REF!</definedName>
    <definedName name="solver_lhs2" localSheetId="1" hidden="1">'data (2)'!$Y$2:$Y$18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data!#REF!</definedName>
    <definedName name="solver_opt" localSheetId="1" hidden="1">'data (2)'!$Y$24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3</definedName>
    <definedName name="solver_rhs1" localSheetId="0" hidden="1">10000</definedName>
    <definedName name="solver_rhs1" localSheetId="1" hidden="1">6</definedName>
    <definedName name="solver_rhs2" localSheetId="0" hidden="1">-10000</definedName>
    <definedName name="solver_rhs2" localSheetId="1" hidden="1">-6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TN">'data (2)'!$AD$5</definedName>
    <definedName name="TP">'data (2)'!$AC$4</definedName>
    <definedName name="구독여부">'data (2)'!$B$2:$B$674</definedName>
    <definedName name="구독예측">'data (2)'!$U$2:$U$674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5" i="4" l="1"/>
  <c r="S675" i="4" s="1" a="1"/>
  <c r="S675" i="4" s="1"/>
  <c r="T675" i="4" s="1"/>
  <c r="U675" i="4" s="1"/>
  <c r="J675" i="4"/>
  <c r="S25" i="4" a="1"/>
  <c r="S25" i="4" s="1"/>
  <c r="T25" i="4" s="1"/>
  <c r="U25" i="4" s="1"/>
  <c r="S40" i="4" a="1"/>
  <c r="S40" i="4" s="1"/>
  <c r="T40" i="4" s="1"/>
  <c r="U40" i="4" s="1"/>
  <c r="S41" i="4" a="1"/>
  <c r="S41" i="4" s="1"/>
  <c r="T41" i="4" s="1"/>
  <c r="U41" i="4" s="1"/>
  <c r="S56" i="4" a="1"/>
  <c r="S56" i="4" s="1"/>
  <c r="T56" i="4" s="1"/>
  <c r="U56" i="4" s="1"/>
  <c r="S57" i="4" a="1"/>
  <c r="S57" i="4" s="1"/>
  <c r="T57" i="4" s="1"/>
  <c r="U57" i="4" s="1"/>
  <c r="S89" i="4" a="1"/>
  <c r="S89" i="4" s="1"/>
  <c r="T89" i="4" s="1"/>
  <c r="U89" i="4" s="1"/>
  <c r="S94" i="4" a="1"/>
  <c r="S94" i="4" s="1"/>
  <c r="T94" i="4" s="1"/>
  <c r="U94" i="4" s="1"/>
  <c r="S104" i="4" a="1"/>
  <c r="S104" i="4" s="1"/>
  <c r="T104" i="4" s="1"/>
  <c r="U104" i="4" s="1"/>
  <c r="S105" i="4" a="1"/>
  <c r="S105" i="4" s="1"/>
  <c r="T105" i="4" s="1"/>
  <c r="U105" i="4" s="1"/>
  <c r="S110" i="4" a="1"/>
  <c r="S110" i="4" s="1"/>
  <c r="T110" i="4" s="1"/>
  <c r="U110" i="4" s="1"/>
  <c r="S137" i="4" a="1"/>
  <c r="S137" i="4" s="1"/>
  <c r="T137" i="4" s="1"/>
  <c r="U137" i="4" s="1"/>
  <c r="S142" i="4" a="1"/>
  <c r="S142" i="4" s="1"/>
  <c r="T142" i="4" s="1"/>
  <c r="U142" i="4" s="1"/>
  <c r="S152" i="4" a="1"/>
  <c r="S152" i="4" s="1"/>
  <c r="T152" i="4" s="1"/>
  <c r="U152" i="4" s="1"/>
  <c r="S153" i="4" a="1"/>
  <c r="S153" i="4" s="1"/>
  <c r="T153" i="4" s="1"/>
  <c r="U153" i="4" s="1"/>
  <c r="S168" i="4" a="1"/>
  <c r="S168" i="4" s="1"/>
  <c r="T168" i="4" s="1"/>
  <c r="U168" i="4" s="1"/>
  <c r="S185" i="4" a="1"/>
  <c r="S185" i="4" s="1"/>
  <c r="T185" i="4" s="1"/>
  <c r="U185" i="4" s="1"/>
  <c r="S190" i="4" a="1"/>
  <c r="S190" i="4" s="1"/>
  <c r="T190" i="4" s="1"/>
  <c r="U190" i="4" s="1"/>
  <c r="S200" i="4" a="1"/>
  <c r="S200" i="4" s="1"/>
  <c r="T200" i="4" s="1"/>
  <c r="U200" i="4" s="1"/>
  <c r="S201" i="4" a="1"/>
  <c r="S201" i="4" s="1"/>
  <c r="T201" i="4" s="1"/>
  <c r="U201" i="4" s="1"/>
  <c r="S216" i="4" a="1"/>
  <c r="S216" i="4" s="1"/>
  <c r="T216" i="4" s="1"/>
  <c r="U216" i="4" s="1"/>
  <c r="S217" i="4" a="1"/>
  <c r="S217" i="4" s="1"/>
  <c r="T217" i="4" s="1"/>
  <c r="U217" i="4" s="1"/>
  <c r="S222" i="4" a="1"/>
  <c r="S222" i="4" s="1"/>
  <c r="T222" i="4" s="1"/>
  <c r="U222" i="4" s="1"/>
  <c r="S248" i="4" a="1"/>
  <c r="S248" i="4" s="1"/>
  <c r="T248" i="4" s="1"/>
  <c r="U248" i="4" s="1"/>
  <c r="S249" i="4" a="1"/>
  <c r="S249" i="4" s="1"/>
  <c r="T249" i="4" s="1"/>
  <c r="U249" i="4" s="1"/>
  <c r="S254" i="4" a="1"/>
  <c r="S254" i="4" s="1"/>
  <c r="T254" i="4" s="1"/>
  <c r="U254" i="4" s="1"/>
  <c r="S264" i="4" a="1"/>
  <c r="S264" i="4" s="1"/>
  <c r="T264" i="4" s="1"/>
  <c r="U264" i="4" s="1"/>
  <c r="S265" i="4" a="1"/>
  <c r="S265" i="4" s="1"/>
  <c r="T265" i="4" s="1"/>
  <c r="U265" i="4" s="1"/>
  <c r="S312" i="4" a="1"/>
  <c r="S312" i="4" s="1"/>
  <c r="T312" i="4" s="1"/>
  <c r="U312" i="4" s="1"/>
  <c r="S313" i="4" a="1"/>
  <c r="S313" i="4" s="1"/>
  <c r="T313" i="4" s="1"/>
  <c r="U313" i="4" s="1"/>
  <c r="S322" i="4" a="1"/>
  <c r="S322" i="4" s="1"/>
  <c r="T322" i="4" s="1"/>
  <c r="U322" i="4" s="1"/>
  <c r="S328" i="4" a="1"/>
  <c r="S328" i="4" s="1"/>
  <c r="T328" i="4" s="1"/>
  <c r="U328" i="4" s="1"/>
  <c r="S329" i="4" a="1"/>
  <c r="S329" i="4" s="1"/>
  <c r="T329" i="4" s="1"/>
  <c r="U329" i="4" s="1"/>
  <c r="S334" i="4" a="1"/>
  <c r="S334" i="4" s="1"/>
  <c r="T334" i="4" s="1"/>
  <c r="U334" i="4" s="1"/>
  <c r="S345" i="4" a="1"/>
  <c r="S345" i="4" s="1"/>
  <c r="T345" i="4" s="1"/>
  <c r="U345" i="4" s="1"/>
  <c r="S349" i="4" a="1"/>
  <c r="S349" i="4" s="1"/>
  <c r="T349" i="4" s="1"/>
  <c r="U349" i="4" s="1"/>
  <c r="S360" i="4" a="1"/>
  <c r="S360" i="4" s="1"/>
  <c r="T360" i="4" s="1"/>
  <c r="U360" i="4" s="1"/>
  <c r="S361" i="4" a="1"/>
  <c r="S361" i="4" s="1"/>
  <c r="T361" i="4" s="1"/>
  <c r="U361" i="4" s="1"/>
  <c r="S365" i="4" a="1"/>
  <c r="S365" i="4" s="1"/>
  <c r="T365" i="4" s="1"/>
  <c r="U365" i="4" s="1"/>
  <c r="S366" i="4" a="1"/>
  <c r="S366" i="4" s="1"/>
  <c r="T366" i="4" s="1"/>
  <c r="U366" i="4" s="1"/>
  <c r="S367" i="4" a="1"/>
  <c r="S367" i="4" s="1"/>
  <c r="T367" i="4" s="1"/>
  <c r="U367" i="4" s="1"/>
  <c r="S376" i="4" a="1"/>
  <c r="S376" i="4" s="1"/>
  <c r="T376" i="4" s="1"/>
  <c r="U376" i="4" s="1"/>
  <c r="S393" i="4" a="1"/>
  <c r="S393" i="4" s="1"/>
  <c r="T393" i="4" s="1"/>
  <c r="U393" i="4" s="1"/>
  <c r="S408" i="4" a="1"/>
  <c r="S408" i="4" s="1"/>
  <c r="T408" i="4" s="1"/>
  <c r="U408" i="4" s="1"/>
  <c r="S409" i="4" a="1"/>
  <c r="S409" i="4" s="1"/>
  <c r="T409" i="4" s="1"/>
  <c r="U409" i="4" s="1"/>
  <c r="S424" i="4" a="1"/>
  <c r="S424" i="4" s="1"/>
  <c r="T424" i="4" s="1"/>
  <c r="U424" i="4" s="1"/>
  <c r="S425" i="4" a="1"/>
  <c r="S425" i="4" s="1"/>
  <c r="T425" i="4" s="1"/>
  <c r="U425" i="4" s="1"/>
  <c r="S456" i="4" a="1"/>
  <c r="S456" i="4" s="1"/>
  <c r="T456" i="4" s="1"/>
  <c r="U456" i="4" s="1"/>
  <c r="S472" i="4" a="1"/>
  <c r="S472" i="4" s="1"/>
  <c r="T472" i="4" s="1"/>
  <c r="U472" i="4" s="1"/>
  <c r="S473" i="4" a="1"/>
  <c r="S473" i="4" s="1"/>
  <c r="T473" i="4" s="1"/>
  <c r="U473" i="4" s="1"/>
  <c r="S488" i="4" a="1"/>
  <c r="S488" i="4" s="1"/>
  <c r="T488" i="4" s="1"/>
  <c r="U488" i="4" s="1"/>
  <c r="S489" i="4" a="1"/>
  <c r="S489" i="4" s="1"/>
  <c r="T489" i="4" s="1"/>
  <c r="U489" i="4" s="1"/>
  <c r="S520" i="4" a="1"/>
  <c r="S520" i="4" s="1"/>
  <c r="T520" i="4" s="1"/>
  <c r="U520" i="4" s="1"/>
  <c r="S536" i="4" a="1"/>
  <c r="S536" i="4" s="1"/>
  <c r="T536" i="4" s="1"/>
  <c r="U536" i="4" s="1"/>
  <c r="S537" i="4" a="1"/>
  <c r="S537" i="4" s="1"/>
  <c r="T537" i="4" s="1"/>
  <c r="U537" i="4" s="1"/>
  <c r="S546" i="4" a="1"/>
  <c r="S546" i="4" s="1"/>
  <c r="T546" i="4" s="1"/>
  <c r="U546" i="4" s="1"/>
  <c r="S552" i="4" a="1"/>
  <c r="S552" i="4" s="1"/>
  <c r="T552" i="4" s="1"/>
  <c r="U552" i="4" s="1"/>
  <c r="S553" i="4" a="1"/>
  <c r="S553" i="4" s="1"/>
  <c r="T553" i="4" s="1"/>
  <c r="U553" i="4" s="1"/>
  <c r="S584" i="4" a="1"/>
  <c r="S584" i="4" s="1"/>
  <c r="T584" i="4" s="1"/>
  <c r="U584" i="4" s="1"/>
  <c r="S600" i="4" a="1"/>
  <c r="S600" i="4" s="1"/>
  <c r="T600" i="4" s="1"/>
  <c r="U600" i="4" s="1"/>
  <c r="S601" i="4" a="1"/>
  <c r="S601" i="4" s="1"/>
  <c r="T601" i="4" s="1"/>
  <c r="U601" i="4" s="1"/>
  <c r="S616" i="4" a="1"/>
  <c r="S616" i="4" s="1"/>
  <c r="T616" i="4" s="1"/>
  <c r="U616" i="4" s="1"/>
  <c r="S617" i="4" a="1"/>
  <c r="S617" i="4" s="1"/>
  <c r="T617" i="4" s="1"/>
  <c r="U617" i="4" s="1"/>
  <c r="S648" i="4" a="1"/>
  <c r="S648" i="4" s="1"/>
  <c r="T648" i="4" s="1"/>
  <c r="U648" i="4" s="1"/>
  <c r="S664" i="4" a="1"/>
  <c r="S664" i="4" s="1"/>
  <c r="T664" i="4" s="1"/>
  <c r="U664" i="4" s="1"/>
  <c r="S665" i="4" a="1"/>
  <c r="S665" i="4" s="1"/>
  <c r="T665" i="4" s="1"/>
  <c r="U665" i="4" s="1"/>
  <c r="J674" i="4"/>
  <c r="S674" i="4" s="1" a="1"/>
  <c r="S674" i="4" s="1"/>
  <c r="T674" i="4" s="1"/>
  <c r="U674" i="4" s="1"/>
  <c r="J673" i="4"/>
  <c r="S673" i="4" s="1" a="1"/>
  <c r="S673" i="4" s="1"/>
  <c r="T673" i="4" s="1"/>
  <c r="U673" i="4" s="1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S658" i="4" s="1" a="1"/>
  <c r="S658" i="4" s="1"/>
  <c r="T658" i="4" s="1"/>
  <c r="U658" i="4" s="1"/>
  <c r="J657" i="4"/>
  <c r="S657" i="4" s="1" a="1"/>
  <c r="S657" i="4" s="1"/>
  <c r="T657" i="4" s="1"/>
  <c r="U657" i="4" s="1"/>
  <c r="J656" i="4"/>
  <c r="J655" i="4"/>
  <c r="J654" i="4"/>
  <c r="J653" i="4"/>
  <c r="J652" i="4"/>
  <c r="J651" i="4"/>
  <c r="J650" i="4"/>
  <c r="J649" i="4"/>
  <c r="S649" i="4" s="1" a="1"/>
  <c r="S649" i="4" s="1"/>
  <c r="T649" i="4" s="1"/>
  <c r="U649" i="4" s="1"/>
  <c r="J648" i="4"/>
  <c r="J647" i="4"/>
  <c r="J646" i="4"/>
  <c r="J645" i="4"/>
  <c r="J644" i="4"/>
  <c r="J643" i="4"/>
  <c r="J642" i="4"/>
  <c r="S642" i="4" s="1" a="1"/>
  <c r="S642" i="4" s="1"/>
  <c r="T642" i="4" s="1"/>
  <c r="U642" i="4" s="1"/>
  <c r="J641" i="4"/>
  <c r="S641" i="4" s="1" a="1"/>
  <c r="S641" i="4" s="1"/>
  <c r="T641" i="4" s="1"/>
  <c r="U641" i="4" s="1"/>
  <c r="J640" i="4"/>
  <c r="J639" i="4"/>
  <c r="J638" i="4"/>
  <c r="J637" i="4"/>
  <c r="J636" i="4"/>
  <c r="J635" i="4"/>
  <c r="J634" i="4"/>
  <c r="J633" i="4"/>
  <c r="S633" i="4" s="1" a="1"/>
  <c r="S633" i="4" s="1"/>
  <c r="T633" i="4" s="1"/>
  <c r="U633" i="4" s="1"/>
  <c r="J632" i="4"/>
  <c r="S632" i="4" s="1" a="1"/>
  <c r="S632" i="4" s="1"/>
  <c r="T632" i="4" s="1"/>
  <c r="U632" i="4" s="1"/>
  <c r="J631" i="4"/>
  <c r="J630" i="4"/>
  <c r="J629" i="4"/>
  <c r="J628" i="4"/>
  <c r="J627" i="4"/>
  <c r="J626" i="4"/>
  <c r="S626" i="4" s="1" a="1"/>
  <c r="S626" i="4" s="1"/>
  <c r="T626" i="4" s="1"/>
  <c r="U626" i="4" s="1"/>
  <c r="J625" i="4"/>
  <c r="S625" i="4" s="1" a="1"/>
  <c r="S625" i="4" s="1"/>
  <c r="T625" i="4" s="1"/>
  <c r="U625" i="4" s="1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S610" i="4" s="1" a="1"/>
  <c r="S610" i="4" s="1"/>
  <c r="T610" i="4" s="1"/>
  <c r="U610" i="4" s="1"/>
  <c r="J609" i="4"/>
  <c r="S609" i="4" s="1" a="1"/>
  <c r="S609" i="4" s="1"/>
  <c r="T609" i="4" s="1"/>
  <c r="U609" i="4" s="1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S594" i="4" s="1" a="1"/>
  <c r="S594" i="4" s="1"/>
  <c r="T594" i="4" s="1"/>
  <c r="U594" i="4" s="1"/>
  <c r="J593" i="4"/>
  <c r="S593" i="4" s="1" a="1"/>
  <c r="S593" i="4" s="1"/>
  <c r="T593" i="4" s="1"/>
  <c r="U593" i="4" s="1"/>
  <c r="J592" i="4"/>
  <c r="J591" i="4"/>
  <c r="J590" i="4"/>
  <c r="J589" i="4"/>
  <c r="J588" i="4"/>
  <c r="J587" i="4"/>
  <c r="J586" i="4"/>
  <c r="J585" i="4"/>
  <c r="S585" i="4" s="1" a="1"/>
  <c r="S585" i="4" s="1"/>
  <c r="T585" i="4" s="1"/>
  <c r="U585" i="4" s="1"/>
  <c r="J584" i="4"/>
  <c r="J583" i="4"/>
  <c r="J582" i="4"/>
  <c r="J581" i="4"/>
  <c r="J580" i="4"/>
  <c r="J579" i="4"/>
  <c r="J578" i="4"/>
  <c r="S578" i="4" s="1" a="1"/>
  <c r="S578" i="4" s="1"/>
  <c r="T578" i="4" s="1"/>
  <c r="U578" i="4" s="1"/>
  <c r="J577" i="4"/>
  <c r="S577" i="4" s="1" a="1"/>
  <c r="S577" i="4" s="1"/>
  <c r="T577" i="4" s="1"/>
  <c r="U577" i="4" s="1"/>
  <c r="J576" i="4"/>
  <c r="J575" i="4"/>
  <c r="J574" i="4"/>
  <c r="J573" i="4"/>
  <c r="J572" i="4"/>
  <c r="J571" i="4"/>
  <c r="J570" i="4"/>
  <c r="J569" i="4"/>
  <c r="S569" i="4" s="1" a="1"/>
  <c r="S569" i="4" s="1"/>
  <c r="T569" i="4" s="1"/>
  <c r="U569" i="4" s="1"/>
  <c r="J568" i="4"/>
  <c r="S568" i="4" s="1" a="1"/>
  <c r="S568" i="4" s="1"/>
  <c r="T568" i="4" s="1"/>
  <c r="U568" i="4" s="1"/>
  <c r="J567" i="4"/>
  <c r="J566" i="4"/>
  <c r="J565" i="4"/>
  <c r="J564" i="4"/>
  <c r="J563" i="4"/>
  <c r="J562" i="4"/>
  <c r="S562" i="4" s="1" a="1"/>
  <c r="S562" i="4" s="1"/>
  <c r="T562" i="4" s="1"/>
  <c r="U562" i="4" s="1"/>
  <c r="J561" i="4"/>
  <c r="S561" i="4" s="1" a="1"/>
  <c r="S561" i="4" s="1"/>
  <c r="T561" i="4" s="1"/>
  <c r="U561" i="4" s="1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S545" i="4" s="1" a="1"/>
  <c r="S545" i="4" s="1"/>
  <c r="T545" i="4" s="1"/>
  <c r="U545" i="4" s="1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S530" i="4" s="1" a="1"/>
  <c r="S530" i="4" s="1"/>
  <c r="T530" i="4" s="1"/>
  <c r="U530" i="4" s="1"/>
  <c r="J529" i="4"/>
  <c r="S529" i="4" s="1" a="1"/>
  <c r="S529" i="4" s="1"/>
  <c r="T529" i="4" s="1"/>
  <c r="U529" i="4" s="1"/>
  <c r="J528" i="4"/>
  <c r="J527" i="4"/>
  <c r="J526" i="4"/>
  <c r="J525" i="4"/>
  <c r="J524" i="4"/>
  <c r="J523" i="4"/>
  <c r="J522" i="4"/>
  <c r="J521" i="4"/>
  <c r="S521" i="4" s="1" a="1"/>
  <c r="S521" i="4" s="1"/>
  <c r="T521" i="4" s="1"/>
  <c r="U521" i="4" s="1"/>
  <c r="J520" i="4"/>
  <c r="J519" i="4"/>
  <c r="J518" i="4"/>
  <c r="J517" i="4"/>
  <c r="J516" i="4"/>
  <c r="J515" i="4"/>
  <c r="J514" i="4"/>
  <c r="S514" i="4" s="1" a="1"/>
  <c r="S514" i="4" s="1"/>
  <c r="T514" i="4" s="1"/>
  <c r="U514" i="4" s="1"/>
  <c r="J513" i="4"/>
  <c r="S513" i="4" s="1" a="1"/>
  <c r="S513" i="4" s="1"/>
  <c r="T513" i="4" s="1"/>
  <c r="U513" i="4" s="1"/>
  <c r="J512" i="4"/>
  <c r="J511" i="4"/>
  <c r="J510" i="4"/>
  <c r="J509" i="4"/>
  <c r="J508" i="4"/>
  <c r="J507" i="4"/>
  <c r="J506" i="4"/>
  <c r="J505" i="4"/>
  <c r="S505" i="4" s="1" a="1"/>
  <c r="S505" i="4" s="1"/>
  <c r="T505" i="4" s="1"/>
  <c r="U505" i="4" s="1"/>
  <c r="J504" i="4"/>
  <c r="S504" i="4" s="1" a="1"/>
  <c r="S504" i="4" s="1"/>
  <c r="T504" i="4" s="1"/>
  <c r="U504" i="4" s="1"/>
  <c r="J503" i="4"/>
  <c r="J502" i="4"/>
  <c r="J501" i="4"/>
  <c r="J500" i="4"/>
  <c r="J499" i="4"/>
  <c r="J498" i="4"/>
  <c r="S498" i="4" s="1" a="1"/>
  <c r="S498" i="4" s="1"/>
  <c r="T498" i="4" s="1"/>
  <c r="U498" i="4" s="1"/>
  <c r="J497" i="4"/>
  <c r="S497" i="4" s="1" a="1"/>
  <c r="S497" i="4" s="1"/>
  <c r="T497" i="4" s="1"/>
  <c r="U497" i="4" s="1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S482" i="4" s="1" a="1"/>
  <c r="S482" i="4" s="1"/>
  <c r="T482" i="4" s="1"/>
  <c r="U482" i="4" s="1"/>
  <c r="J481" i="4"/>
  <c r="S481" i="4" s="1" a="1"/>
  <c r="S481" i="4" s="1"/>
  <c r="T481" i="4" s="1"/>
  <c r="U481" i="4" s="1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S466" i="4" s="1" a="1"/>
  <c r="S466" i="4" s="1"/>
  <c r="T466" i="4" s="1"/>
  <c r="U466" i="4" s="1"/>
  <c r="J465" i="4"/>
  <c r="S465" i="4" s="1" a="1"/>
  <c r="S465" i="4" s="1"/>
  <c r="T465" i="4" s="1"/>
  <c r="U465" i="4" s="1"/>
  <c r="J464" i="4"/>
  <c r="J463" i="4"/>
  <c r="J462" i="4"/>
  <c r="J461" i="4"/>
  <c r="J460" i="4"/>
  <c r="J459" i="4"/>
  <c r="J458" i="4"/>
  <c r="J457" i="4"/>
  <c r="S457" i="4" s="1" a="1"/>
  <c r="S457" i="4" s="1"/>
  <c r="T457" i="4" s="1"/>
  <c r="U457" i="4" s="1"/>
  <c r="J456" i="4"/>
  <c r="J455" i="4"/>
  <c r="J454" i="4"/>
  <c r="J453" i="4"/>
  <c r="J452" i="4"/>
  <c r="J451" i="4"/>
  <c r="J450" i="4"/>
  <c r="S450" i="4" s="1" a="1"/>
  <c r="S450" i="4" s="1"/>
  <c r="T450" i="4" s="1"/>
  <c r="U450" i="4" s="1"/>
  <c r="J449" i="4"/>
  <c r="S449" i="4" s="1" a="1"/>
  <c r="S449" i="4" s="1"/>
  <c r="T449" i="4" s="1"/>
  <c r="U449" i="4" s="1"/>
  <c r="J448" i="4"/>
  <c r="J447" i="4"/>
  <c r="J446" i="4"/>
  <c r="J445" i="4"/>
  <c r="J444" i="4"/>
  <c r="J443" i="4"/>
  <c r="J442" i="4"/>
  <c r="J441" i="4"/>
  <c r="S441" i="4" s="1" a="1"/>
  <c r="S441" i="4" s="1"/>
  <c r="T441" i="4" s="1"/>
  <c r="U441" i="4" s="1"/>
  <c r="J440" i="4"/>
  <c r="S440" i="4" s="1" a="1"/>
  <c r="S440" i="4" s="1"/>
  <c r="T440" i="4" s="1"/>
  <c r="U440" i="4" s="1"/>
  <c r="J439" i="4"/>
  <c r="J438" i="4"/>
  <c r="J437" i="4"/>
  <c r="J436" i="4"/>
  <c r="J435" i="4"/>
  <c r="J434" i="4"/>
  <c r="S434" i="4" s="1" a="1"/>
  <c r="S434" i="4" s="1"/>
  <c r="T434" i="4" s="1"/>
  <c r="U434" i="4" s="1"/>
  <c r="J433" i="4"/>
  <c r="S433" i="4" s="1" a="1"/>
  <c r="S433" i="4" s="1"/>
  <c r="T433" i="4" s="1"/>
  <c r="U433" i="4" s="1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S418" i="4" s="1" a="1"/>
  <c r="S418" i="4" s="1"/>
  <c r="T418" i="4" s="1"/>
  <c r="U418" i="4" s="1"/>
  <c r="J417" i="4"/>
  <c r="S417" i="4" s="1" a="1"/>
  <c r="S417" i="4" s="1"/>
  <c r="T417" i="4" s="1"/>
  <c r="U417" i="4" s="1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S402" i="4" s="1" a="1"/>
  <c r="S402" i="4" s="1"/>
  <c r="T402" i="4" s="1"/>
  <c r="U402" i="4" s="1"/>
  <c r="J401" i="4"/>
  <c r="S401" i="4" s="1" a="1"/>
  <c r="S401" i="4" s="1"/>
  <c r="T401" i="4" s="1"/>
  <c r="U401" i="4" s="1"/>
  <c r="J400" i="4"/>
  <c r="J399" i="4"/>
  <c r="J398" i="4"/>
  <c r="S398" i="4" s="1" a="1"/>
  <c r="S398" i="4" s="1"/>
  <c r="T398" i="4" s="1"/>
  <c r="U398" i="4" s="1"/>
  <c r="J397" i="4"/>
  <c r="J396" i="4"/>
  <c r="J395" i="4"/>
  <c r="J394" i="4"/>
  <c r="J393" i="4"/>
  <c r="J392" i="4"/>
  <c r="S392" i="4" s="1" a="1"/>
  <c r="S392" i="4" s="1"/>
  <c r="T392" i="4" s="1"/>
  <c r="U392" i="4" s="1"/>
  <c r="J391" i="4"/>
  <c r="J390" i="4"/>
  <c r="J389" i="4"/>
  <c r="J388" i="4"/>
  <c r="J387" i="4"/>
  <c r="J386" i="4"/>
  <c r="S386" i="4" s="1" a="1"/>
  <c r="S386" i="4" s="1"/>
  <c r="T386" i="4" s="1"/>
  <c r="U386" i="4" s="1"/>
  <c r="J385" i="4"/>
  <c r="S385" i="4" s="1" a="1"/>
  <c r="S385" i="4" s="1"/>
  <c r="T385" i="4" s="1"/>
  <c r="U385" i="4" s="1"/>
  <c r="J384" i="4"/>
  <c r="J383" i="4"/>
  <c r="J382" i="4"/>
  <c r="S382" i="4" s="1" a="1"/>
  <c r="S382" i="4" s="1"/>
  <c r="T382" i="4" s="1"/>
  <c r="U382" i="4" s="1"/>
  <c r="J381" i="4"/>
  <c r="J380" i="4"/>
  <c r="J379" i="4"/>
  <c r="J378" i="4"/>
  <c r="J377" i="4"/>
  <c r="S377" i="4" s="1" a="1"/>
  <c r="S377" i="4" s="1"/>
  <c r="T377" i="4" s="1"/>
  <c r="U377" i="4" s="1"/>
  <c r="J376" i="4"/>
  <c r="J375" i="4"/>
  <c r="J374" i="4"/>
  <c r="J373" i="4"/>
  <c r="J372" i="4"/>
  <c r="J371" i="4"/>
  <c r="J370" i="4"/>
  <c r="S370" i="4" s="1" a="1"/>
  <c r="S370" i="4" s="1"/>
  <c r="T370" i="4" s="1"/>
  <c r="U370" i="4" s="1"/>
  <c r="J369" i="4"/>
  <c r="S369" i="4" s="1" a="1"/>
  <c r="S369" i="4" s="1"/>
  <c r="T369" i="4" s="1"/>
  <c r="U369" i="4" s="1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S354" i="4" s="1" a="1"/>
  <c r="S354" i="4" s="1"/>
  <c r="T354" i="4" s="1"/>
  <c r="U354" i="4" s="1"/>
  <c r="J353" i="4"/>
  <c r="S353" i="4" s="1" a="1"/>
  <c r="S353" i="4" s="1"/>
  <c r="T353" i="4" s="1"/>
  <c r="U353" i="4" s="1"/>
  <c r="J352" i="4"/>
  <c r="J351" i="4"/>
  <c r="J350" i="4"/>
  <c r="J349" i="4"/>
  <c r="J348" i="4"/>
  <c r="J347" i="4"/>
  <c r="J346" i="4"/>
  <c r="J345" i="4"/>
  <c r="J344" i="4"/>
  <c r="S344" i="4" s="1" a="1"/>
  <c r="S344" i="4" s="1"/>
  <c r="T344" i="4" s="1"/>
  <c r="U344" i="4" s="1"/>
  <c r="J343" i="4"/>
  <c r="J342" i="4"/>
  <c r="J341" i="4"/>
  <c r="J340" i="4"/>
  <c r="J339" i="4"/>
  <c r="J338" i="4"/>
  <c r="S338" i="4" s="1" a="1"/>
  <c r="S338" i="4" s="1"/>
  <c r="T338" i="4" s="1"/>
  <c r="U338" i="4" s="1"/>
  <c r="J337" i="4"/>
  <c r="S337" i="4" s="1" a="1"/>
  <c r="S337" i="4" s="1"/>
  <c r="T337" i="4" s="1"/>
  <c r="U337" i="4" s="1"/>
  <c r="J336" i="4"/>
  <c r="J335" i="4"/>
  <c r="S335" i="4" s="1" a="1"/>
  <c r="S335" i="4" s="1"/>
  <c r="T335" i="4" s="1"/>
  <c r="U335" i="4" s="1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S321" i="4" s="1" a="1"/>
  <c r="S321" i="4" s="1"/>
  <c r="T321" i="4" s="1"/>
  <c r="U321" i="4" s="1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S306" i="4" s="1" a="1"/>
  <c r="S306" i="4" s="1"/>
  <c r="T306" i="4" s="1"/>
  <c r="U306" i="4" s="1"/>
  <c r="J305" i="4"/>
  <c r="S305" i="4" s="1" a="1"/>
  <c r="S305" i="4" s="1"/>
  <c r="T305" i="4" s="1"/>
  <c r="U305" i="4" s="1"/>
  <c r="J304" i="4"/>
  <c r="J303" i="4"/>
  <c r="J302" i="4"/>
  <c r="J301" i="4"/>
  <c r="J300" i="4"/>
  <c r="J299" i="4"/>
  <c r="J298" i="4"/>
  <c r="J297" i="4"/>
  <c r="S297" i="4" s="1" a="1"/>
  <c r="S297" i="4" s="1"/>
  <c r="T297" i="4" s="1"/>
  <c r="U297" i="4" s="1"/>
  <c r="J296" i="4"/>
  <c r="S296" i="4" s="1" a="1"/>
  <c r="S296" i="4" s="1"/>
  <c r="T296" i="4" s="1"/>
  <c r="U296" i="4" s="1"/>
  <c r="J295" i="4"/>
  <c r="J294" i="4"/>
  <c r="J293" i="4"/>
  <c r="J292" i="4"/>
  <c r="J291" i="4"/>
  <c r="J290" i="4"/>
  <c r="S290" i="4" s="1" a="1"/>
  <c r="S290" i="4" s="1"/>
  <c r="T290" i="4" s="1"/>
  <c r="U290" i="4" s="1"/>
  <c r="J289" i="4"/>
  <c r="S289" i="4" s="1" a="1"/>
  <c r="S289" i="4" s="1"/>
  <c r="T289" i="4" s="1"/>
  <c r="U289" i="4" s="1"/>
  <c r="J288" i="4"/>
  <c r="J287" i="4"/>
  <c r="J286" i="4"/>
  <c r="J285" i="4"/>
  <c r="J284" i="4"/>
  <c r="J283" i="4"/>
  <c r="J282" i="4"/>
  <c r="J281" i="4"/>
  <c r="S281" i="4" s="1" a="1"/>
  <c r="S281" i="4" s="1"/>
  <c r="T281" i="4" s="1"/>
  <c r="U281" i="4" s="1"/>
  <c r="J280" i="4"/>
  <c r="S280" i="4" s="1" a="1"/>
  <c r="S280" i="4" s="1"/>
  <c r="T280" i="4" s="1"/>
  <c r="U280" i="4" s="1"/>
  <c r="J279" i="4"/>
  <c r="J278" i="4"/>
  <c r="J277" i="4"/>
  <c r="J276" i="4"/>
  <c r="J275" i="4"/>
  <c r="J274" i="4"/>
  <c r="S274" i="4" s="1" a="1"/>
  <c r="S274" i="4" s="1"/>
  <c r="T274" i="4" s="1"/>
  <c r="U274" i="4" s="1"/>
  <c r="J273" i="4"/>
  <c r="S273" i="4" s="1" a="1"/>
  <c r="S273" i="4" s="1"/>
  <c r="T273" i="4" s="1"/>
  <c r="U273" i="4" s="1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S258" i="4" s="1" a="1"/>
  <c r="S258" i="4" s="1"/>
  <c r="T258" i="4" s="1"/>
  <c r="U258" i="4" s="1"/>
  <c r="J257" i="4"/>
  <c r="S257" i="4" s="1" a="1"/>
  <c r="S257" i="4" s="1"/>
  <c r="T257" i="4" s="1"/>
  <c r="U257" i="4" s="1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S242" i="4" s="1" a="1"/>
  <c r="S242" i="4" s="1"/>
  <c r="T242" i="4" s="1"/>
  <c r="U242" i="4" s="1"/>
  <c r="J241" i="4"/>
  <c r="S241" i="4" s="1" a="1"/>
  <c r="S241" i="4" s="1"/>
  <c r="T241" i="4" s="1"/>
  <c r="U241" i="4" s="1"/>
  <c r="J240" i="4"/>
  <c r="J239" i="4"/>
  <c r="S239" i="4" s="1" a="1"/>
  <c r="S239" i="4" s="1"/>
  <c r="T239" i="4" s="1"/>
  <c r="U239" i="4" s="1"/>
  <c r="J238" i="4"/>
  <c r="S238" i="4" s="1" a="1"/>
  <c r="S238" i="4" s="1"/>
  <c r="T238" i="4" s="1"/>
  <c r="U238" i="4" s="1"/>
  <c r="J237" i="4"/>
  <c r="J236" i="4"/>
  <c r="J235" i="4"/>
  <c r="J234" i="4"/>
  <c r="J233" i="4"/>
  <c r="S233" i="4" s="1" a="1"/>
  <c r="S233" i="4" s="1"/>
  <c r="T233" i="4" s="1"/>
  <c r="U233" i="4" s="1"/>
  <c r="J232" i="4"/>
  <c r="S232" i="4" s="1" a="1"/>
  <c r="S232" i="4" s="1"/>
  <c r="T232" i="4" s="1"/>
  <c r="U232" i="4" s="1"/>
  <c r="J231" i="4"/>
  <c r="J230" i="4"/>
  <c r="J229" i="4"/>
  <c r="J228" i="4"/>
  <c r="J227" i="4"/>
  <c r="J226" i="4"/>
  <c r="S226" i="4" s="1" a="1"/>
  <c r="S226" i="4" s="1"/>
  <c r="T226" i="4" s="1"/>
  <c r="U226" i="4" s="1"/>
  <c r="J225" i="4"/>
  <c r="S225" i="4" s="1" a="1"/>
  <c r="S225" i="4" s="1"/>
  <c r="T225" i="4" s="1"/>
  <c r="U225" i="4" s="1"/>
  <c r="J224" i="4"/>
  <c r="J223" i="4"/>
  <c r="S223" i="4" s="1" a="1"/>
  <c r="S223" i="4" s="1"/>
  <c r="T223" i="4" s="1"/>
  <c r="U223" i="4" s="1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S210" i="4" s="1" a="1"/>
  <c r="S210" i="4" s="1"/>
  <c r="T210" i="4" s="1"/>
  <c r="U210" i="4" s="1"/>
  <c r="J209" i="4"/>
  <c r="S209" i="4" s="1" a="1"/>
  <c r="S209" i="4" s="1"/>
  <c r="T209" i="4" s="1"/>
  <c r="U209" i="4" s="1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S194" i="4" s="1" a="1"/>
  <c r="S194" i="4" s="1"/>
  <c r="T194" i="4" s="1"/>
  <c r="U194" i="4" s="1"/>
  <c r="J193" i="4"/>
  <c r="S193" i="4" s="1" a="1"/>
  <c r="S193" i="4" s="1"/>
  <c r="T193" i="4" s="1"/>
  <c r="U193" i="4" s="1"/>
  <c r="J192" i="4"/>
  <c r="J191" i="4"/>
  <c r="J190" i="4"/>
  <c r="J189" i="4"/>
  <c r="J188" i="4"/>
  <c r="J187" i="4"/>
  <c r="J186" i="4"/>
  <c r="J185" i="4"/>
  <c r="J184" i="4"/>
  <c r="S184" i="4" s="1" a="1"/>
  <c r="S184" i="4" s="1"/>
  <c r="T184" i="4" s="1"/>
  <c r="U184" i="4" s="1"/>
  <c r="J183" i="4"/>
  <c r="J182" i="4"/>
  <c r="J181" i="4"/>
  <c r="J180" i="4"/>
  <c r="J179" i="4"/>
  <c r="J178" i="4"/>
  <c r="S178" i="4" s="1" a="1"/>
  <c r="S178" i="4" s="1"/>
  <c r="T178" i="4" s="1"/>
  <c r="U178" i="4" s="1"/>
  <c r="J177" i="4"/>
  <c r="S177" i="4" s="1" a="1"/>
  <c r="S177" i="4" s="1"/>
  <c r="T177" i="4" s="1"/>
  <c r="U177" i="4" s="1"/>
  <c r="J176" i="4"/>
  <c r="J175" i="4"/>
  <c r="J174" i="4"/>
  <c r="J173" i="4"/>
  <c r="J172" i="4"/>
  <c r="J171" i="4"/>
  <c r="J170" i="4"/>
  <c r="J169" i="4"/>
  <c r="S169" i="4" s="1" a="1"/>
  <c r="S169" i="4" s="1"/>
  <c r="T169" i="4" s="1"/>
  <c r="U169" i="4" s="1"/>
  <c r="J168" i="4"/>
  <c r="J167" i="4"/>
  <c r="J166" i="4"/>
  <c r="J165" i="4"/>
  <c r="J164" i="4"/>
  <c r="J163" i="4"/>
  <c r="J162" i="4"/>
  <c r="S162" i="4" s="1" a="1"/>
  <c r="S162" i="4" s="1"/>
  <c r="T162" i="4" s="1"/>
  <c r="U162" i="4" s="1"/>
  <c r="J161" i="4"/>
  <c r="S161" i="4" s="1" a="1"/>
  <c r="S161" i="4" s="1"/>
  <c r="T161" i="4" s="1"/>
  <c r="U161" i="4" s="1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S146" i="4" s="1" a="1"/>
  <c r="S146" i="4" s="1"/>
  <c r="T146" i="4" s="1"/>
  <c r="U146" i="4" s="1"/>
  <c r="J145" i="4"/>
  <c r="S145" i="4" s="1" a="1"/>
  <c r="S145" i="4" s="1"/>
  <c r="T145" i="4" s="1"/>
  <c r="U145" i="4" s="1"/>
  <c r="J144" i="4"/>
  <c r="J143" i="4"/>
  <c r="J142" i="4"/>
  <c r="J141" i="4"/>
  <c r="J140" i="4"/>
  <c r="J139" i="4"/>
  <c r="J138" i="4"/>
  <c r="J137" i="4"/>
  <c r="J136" i="4"/>
  <c r="S136" i="4" s="1" a="1"/>
  <c r="S136" i="4" s="1"/>
  <c r="T136" i="4" s="1"/>
  <c r="U136" i="4" s="1"/>
  <c r="J135" i="4"/>
  <c r="J134" i="4"/>
  <c r="J133" i="4"/>
  <c r="J132" i="4"/>
  <c r="J131" i="4"/>
  <c r="J130" i="4"/>
  <c r="S130" i="4" s="1" a="1"/>
  <c r="S130" i="4" s="1"/>
  <c r="T130" i="4" s="1"/>
  <c r="U130" i="4" s="1"/>
  <c r="J129" i="4"/>
  <c r="S129" i="4" s="1" a="1"/>
  <c r="S129" i="4" s="1"/>
  <c r="T129" i="4" s="1"/>
  <c r="U129" i="4" s="1"/>
  <c r="J128" i="4"/>
  <c r="J127" i="4"/>
  <c r="J126" i="4"/>
  <c r="J125" i="4"/>
  <c r="J124" i="4"/>
  <c r="J123" i="4"/>
  <c r="J122" i="4"/>
  <c r="J121" i="4"/>
  <c r="S121" i="4" s="1" a="1"/>
  <c r="S121" i="4" s="1"/>
  <c r="T121" i="4" s="1"/>
  <c r="U121" i="4" s="1"/>
  <c r="J120" i="4"/>
  <c r="S120" i="4" s="1" a="1"/>
  <c r="S120" i="4" s="1"/>
  <c r="T120" i="4" s="1"/>
  <c r="U120" i="4" s="1"/>
  <c r="J119" i="4"/>
  <c r="J118" i="4"/>
  <c r="J117" i="4"/>
  <c r="J116" i="4"/>
  <c r="J115" i="4"/>
  <c r="J114" i="4"/>
  <c r="S114" i="4" s="1" a="1"/>
  <c r="S114" i="4" s="1"/>
  <c r="T114" i="4" s="1"/>
  <c r="U114" i="4" s="1"/>
  <c r="J113" i="4"/>
  <c r="S113" i="4" s="1" a="1"/>
  <c r="S113" i="4" s="1"/>
  <c r="T113" i="4" s="1"/>
  <c r="U113" i="4" s="1"/>
  <c r="J112" i="4"/>
  <c r="J111" i="4"/>
  <c r="S111" i="4" s="1" a="1"/>
  <c r="S111" i="4" s="1"/>
  <c r="T111" i="4" s="1"/>
  <c r="U111" i="4" s="1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S98" i="4" s="1" a="1"/>
  <c r="S98" i="4" s="1"/>
  <c r="T98" i="4" s="1"/>
  <c r="U98" i="4" s="1"/>
  <c r="J97" i="4"/>
  <c r="S97" i="4" s="1" a="1"/>
  <c r="S97" i="4" s="1"/>
  <c r="T97" i="4" s="1"/>
  <c r="U97" i="4" s="1"/>
  <c r="J96" i="4"/>
  <c r="J95" i="4"/>
  <c r="J94" i="4"/>
  <c r="J93" i="4"/>
  <c r="J92" i="4"/>
  <c r="J91" i="4"/>
  <c r="J90" i="4"/>
  <c r="J89" i="4"/>
  <c r="J88" i="4"/>
  <c r="S88" i="4" s="1" a="1"/>
  <c r="S88" i="4" s="1"/>
  <c r="T88" i="4" s="1"/>
  <c r="U88" i="4" s="1"/>
  <c r="J87" i="4"/>
  <c r="J86" i="4"/>
  <c r="J85" i="4"/>
  <c r="J84" i="4"/>
  <c r="J83" i="4"/>
  <c r="J82" i="4"/>
  <c r="S82" i="4" s="1" a="1"/>
  <c r="S82" i="4" s="1"/>
  <c r="T82" i="4" s="1"/>
  <c r="U82" i="4" s="1"/>
  <c r="J81" i="4"/>
  <c r="S81" i="4" s="1" a="1"/>
  <c r="S81" i="4" s="1"/>
  <c r="T81" i="4" s="1"/>
  <c r="U81" i="4" s="1"/>
  <c r="J80" i="4"/>
  <c r="J79" i="4"/>
  <c r="S79" i="4" s="1" a="1"/>
  <c r="S79" i="4" s="1"/>
  <c r="T79" i="4" s="1"/>
  <c r="U79" i="4" s="1"/>
  <c r="J78" i="4"/>
  <c r="S78" i="4" s="1" a="1"/>
  <c r="S78" i="4" s="1"/>
  <c r="T78" i="4" s="1"/>
  <c r="U78" i="4" s="1"/>
  <c r="J77" i="4"/>
  <c r="J76" i="4"/>
  <c r="J75" i="4"/>
  <c r="J74" i="4"/>
  <c r="J73" i="4"/>
  <c r="S73" i="4" s="1" a="1"/>
  <c r="S73" i="4" s="1"/>
  <c r="T73" i="4" s="1"/>
  <c r="U73" i="4" s="1"/>
  <c r="J72" i="4"/>
  <c r="S72" i="4" s="1" a="1"/>
  <c r="S72" i="4" s="1"/>
  <c r="T72" i="4" s="1"/>
  <c r="U72" i="4" s="1"/>
  <c r="J71" i="4"/>
  <c r="J70" i="4"/>
  <c r="J69" i="4"/>
  <c r="J68" i="4"/>
  <c r="J67" i="4"/>
  <c r="J66" i="4"/>
  <c r="S66" i="4" s="1" a="1"/>
  <c r="S66" i="4" s="1"/>
  <c r="T66" i="4" s="1"/>
  <c r="U66" i="4" s="1"/>
  <c r="J65" i="4"/>
  <c r="S65" i="4" s="1" a="1"/>
  <c r="S65" i="4" s="1"/>
  <c r="T65" i="4" s="1"/>
  <c r="U65" i="4" s="1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S50" i="4" s="1" a="1"/>
  <c r="S50" i="4" s="1"/>
  <c r="T50" i="4" s="1"/>
  <c r="U50" i="4" s="1"/>
  <c r="J49" i="4"/>
  <c r="S49" i="4" s="1" a="1"/>
  <c r="S49" i="4" s="1"/>
  <c r="T49" i="4" s="1"/>
  <c r="U49" i="4" s="1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S34" i="4" s="1" a="1"/>
  <c r="S34" i="4" s="1"/>
  <c r="T34" i="4" s="1"/>
  <c r="U34" i="4" s="1"/>
  <c r="J33" i="4"/>
  <c r="S33" i="4" s="1" a="1"/>
  <c r="S33" i="4" s="1"/>
  <c r="T33" i="4" s="1"/>
  <c r="U33" i="4" s="1"/>
  <c r="J32" i="4"/>
  <c r="J31" i="4"/>
  <c r="J30" i="4"/>
  <c r="S30" i="4" s="1" a="1"/>
  <c r="S30" i="4" s="1"/>
  <c r="T30" i="4" s="1"/>
  <c r="U30" i="4" s="1"/>
  <c r="J29" i="4"/>
  <c r="J28" i="4"/>
  <c r="J27" i="4"/>
  <c r="J26" i="4"/>
  <c r="J25" i="4"/>
  <c r="J24" i="4"/>
  <c r="S24" i="4" s="1" a="1"/>
  <c r="S24" i="4" s="1"/>
  <c r="T24" i="4" s="1"/>
  <c r="U24" i="4" s="1"/>
  <c r="J23" i="4"/>
  <c r="J22" i="4"/>
  <c r="J21" i="4"/>
  <c r="J20" i="4"/>
  <c r="J19" i="4"/>
  <c r="J18" i="4"/>
  <c r="S18" i="4" s="1" a="1"/>
  <c r="S18" i="4" s="1"/>
  <c r="T18" i="4" s="1"/>
  <c r="U18" i="4" s="1"/>
  <c r="J17" i="4"/>
  <c r="S17" i="4" s="1" a="1"/>
  <c r="S17" i="4" s="1"/>
  <c r="T17" i="4" s="1"/>
  <c r="U17" i="4" s="1"/>
  <c r="J16" i="4"/>
  <c r="J15" i="4"/>
  <c r="J14" i="4"/>
  <c r="J13" i="4"/>
  <c r="J12" i="4"/>
  <c r="J11" i="4"/>
  <c r="J10" i="4"/>
  <c r="J9" i="4"/>
  <c r="S9" i="4" s="1" a="1"/>
  <c r="S9" i="4" s="1"/>
  <c r="T9" i="4" s="1"/>
  <c r="U9" i="4" s="1"/>
  <c r="J8" i="4"/>
  <c r="S8" i="4" s="1" a="1"/>
  <c r="S8" i="4" s="1"/>
  <c r="T8" i="4" s="1"/>
  <c r="U8" i="4" s="1"/>
  <c r="J7" i="4"/>
  <c r="J6" i="4"/>
  <c r="J5" i="4"/>
  <c r="J4" i="4"/>
  <c r="J3" i="4"/>
  <c r="J2" i="4"/>
  <c r="C3" i="4"/>
  <c r="S3" i="4" s="1" a="1"/>
  <c r="S3" i="4" s="1"/>
  <c r="T3" i="4" s="1"/>
  <c r="U3" i="4" s="1"/>
  <c r="C4" i="4"/>
  <c r="S4" i="4" s="1" a="1"/>
  <c r="S4" i="4" s="1"/>
  <c r="T4" i="4" s="1"/>
  <c r="U4" i="4" s="1"/>
  <c r="C5" i="4"/>
  <c r="S5" i="4" s="1" a="1"/>
  <c r="S5" i="4" s="1"/>
  <c r="T5" i="4" s="1"/>
  <c r="U5" i="4" s="1"/>
  <c r="C6" i="4"/>
  <c r="C7" i="4"/>
  <c r="C8" i="4"/>
  <c r="C9" i="4"/>
  <c r="C10" i="4"/>
  <c r="C11" i="4"/>
  <c r="C12" i="4"/>
  <c r="S12" i="4" s="1" a="1"/>
  <c r="S12" i="4" s="1"/>
  <c r="T12" i="4" s="1"/>
  <c r="U12" i="4" s="1"/>
  <c r="C13" i="4"/>
  <c r="S13" i="4" s="1" a="1"/>
  <c r="S13" i="4" s="1"/>
  <c r="T13" i="4" s="1"/>
  <c r="U13" i="4" s="1"/>
  <c r="C14" i="4"/>
  <c r="S14" i="4" s="1" a="1"/>
  <c r="S14" i="4" s="1"/>
  <c r="T14" i="4" s="1"/>
  <c r="U14" i="4" s="1"/>
  <c r="C15" i="4"/>
  <c r="C16" i="4"/>
  <c r="C17" i="4"/>
  <c r="C18" i="4"/>
  <c r="C19" i="4"/>
  <c r="S19" i="4" s="1" a="1"/>
  <c r="S19" i="4" s="1"/>
  <c r="T19" i="4" s="1"/>
  <c r="U19" i="4" s="1"/>
  <c r="C20" i="4"/>
  <c r="S20" i="4" s="1" a="1"/>
  <c r="S20" i="4" s="1"/>
  <c r="T20" i="4" s="1"/>
  <c r="U20" i="4" s="1"/>
  <c r="C21" i="4"/>
  <c r="S21" i="4" s="1" a="1"/>
  <c r="S21" i="4" s="1"/>
  <c r="T21" i="4" s="1"/>
  <c r="U21" i="4" s="1"/>
  <c r="C22" i="4"/>
  <c r="C23" i="4"/>
  <c r="C24" i="4"/>
  <c r="C25" i="4"/>
  <c r="C26" i="4"/>
  <c r="C27" i="4"/>
  <c r="C28" i="4"/>
  <c r="S28" i="4" s="1" a="1"/>
  <c r="S28" i="4" s="1"/>
  <c r="T28" i="4" s="1"/>
  <c r="U28" i="4" s="1"/>
  <c r="C29" i="4"/>
  <c r="S29" i="4" s="1" a="1"/>
  <c r="S29" i="4" s="1"/>
  <c r="T29" i="4" s="1"/>
  <c r="U29" i="4" s="1"/>
  <c r="C30" i="4"/>
  <c r="C31" i="4"/>
  <c r="C32" i="4"/>
  <c r="C33" i="4"/>
  <c r="C34" i="4"/>
  <c r="C35" i="4"/>
  <c r="S35" i="4" s="1" a="1"/>
  <c r="S35" i="4" s="1"/>
  <c r="T35" i="4" s="1"/>
  <c r="U35" i="4" s="1"/>
  <c r="C36" i="4"/>
  <c r="S36" i="4" s="1" a="1"/>
  <c r="S36" i="4" s="1"/>
  <c r="T36" i="4" s="1"/>
  <c r="U36" i="4" s="1"/>
  <c r="C37" i="4"/>
  <c r="S37" i="4" s="1" a="1"/>
  <c r="S37" i="4" s="1"/>
  <c r="T37" i="4" s="1"/>
  <c r="U37" i="4" s="1"/>
  <c r="C38" i="4"/>
  <c r="C39" i="4"/>
  <c r="C40" i="4"/>
  <c r="C41" i="4"/>
  <c r="C42" i="4"/>
  <c r="S42" i="4" s="1" a="1"/>
  <c r="S42" i="4" s="1"/>
  <c r="T42" i="4" s="1"/>
  <c r="U42" i="4" s="1"/>
  <c r="C43" i="4"/>
  <c r="C44" i="4"/>
  <c r="S44" i="4" s="1" a="1"/>
  <c r="S44" i="4" s="1"/>
  <c r="T44" i="4" s="1"/>
  <c r="U44" i="4" s="1"/>
  <c r="C45" i="4"/>
  <c r="S45" i="4" s="1" a="1"/>
  <c r="S45" i="4" s="1"/>
  <c r="T45" i="4" s="1"/>
  <c r="U45" i="4" s="1"/>
  <c r="C46" i="4"/>
  <c r="S46" i="4" s="1" a="1"/>
  <c r="S46" i="4" s="1"/>
  <c r="T46" i="4" s="1"/>
  <c r="U46" i="4" s="1"/>
  <c r="C47" i="4"/>
  <c r="C48" i="4"/>
  <c r="C49" i="4"/>
  <c r="C50" i="4"/>
  <c r="C51" i="4"/>
  <c r="S51" i="4" s="1" a="1"/>
  <c r="S51" i="4" s="1"/>
  <c r="T51" i="4" s="1"/>
  <c r="U51" i="4" s="1"/>
  <c r="C52" i="4"/>
  <c r="S52" i="4" s="1" a="1"/>
  <c r="S52" i="4" s="1"/>
  <c r="T52" i="4" s="1"/>
  <c r="U52" i="4" s="1"/>
  <c r="C53" i="4"/>
  <c r="S53" i="4" s="1" a="1"/>
  <c r="S53" i="4" s="1"/>
  <c r="T53" i="4" s="1"/>
  <c r="U53" i="4" s="1"/>
  <c r="C54" i="4"/>
  <c r="C55" i="4"/>
  <c r="C56" i="4"/>
  <c r="C57" i="4"/>
  <c r="C58" i="4"/>
  <c r="S58" i="4" s="1" a="1"/>
  <c r="S58" i="4" s="1"/>
  <c r="T58" i="4" s="1"/>
  <c r="U58" i="4" s="1"/>
  <c r="C59" i="4"/>
  <c r="C60" i="4"/>
  <c r="S60" i="4" s="1" a="1"/>
  <c r="S60" i="4" s="1"/>
  <c r="T60" i="4" s="1"/>
  <c r="U60" i="4" s="1"/>
  <c r="C61" i="4"/>
  <c r="S61" i="4" s="1" a="1"/>
  <c r="S61" i="4" s="1"/>
  <c r="T61" i="4" s="1"/>
  <c r="U61" i="4" s="1"/>
  <c r="C62" i="4"/>
  <c r="S62" i="4" s="1" a="1"/>
  <c r="S62" i="4" s="1"/>
  <c r="T62" i="4" s="1"/>
  <c r="U62" i="4" s="1"/>
  <c r="C63" i="4"/>
  <c r="C64" i="4"/>
  <c r="C65" i="4"/>
  <c r="C66" i="4"/>
  <c r="C67" i="4"/>
  <c r="S67" i="4" s="1" a="1"/>
  <c r="S67" i="4" s="1"/>
  <c r="T67" i="4" s="1"/>
  <c r="U67" i="4" s="1"/>
  <c r="C68" i="4"/>
  <c r="S68" i="4" s="1" a="1"/>
  <c r="S68" i="4" s="1"/>
  <c r="T68" i="4" s="1"/>
  <c r="U68" i="4" s="1"/>
  <c r="C69" i="4"/>
  <c r="S69" i="4" s="1" a="1"/>
  <c r="S69" i="4" s="1"/>
  <c r="T69" i="4" s="1"/>
  <c r="U69" i="4" s="1"/>
  <c r="C70" i="4"/>
  <c r="C71" i="4"/>
  <c r="C72" i="4"/>
  <c r="C73" i="4"/>
  <c r="C74" i="4"/>
  <c r="S74" i="4" s="1" a="1"/>
  <c r="S74" i="4" s="1"/>
  <c r="T74" i="4" s="1"/>
  <c r="U74" i="4" s="1"/>
  <c r="C75" i="4"/>
  <c r="C76" i="4"/>
  <c r="S76" i="4" s="1" a="1"/>
  <c r="S76" i="4" s="1"/>
  <c r="T76" i="4" s="1"/>
  <c r="U76" i="4" s="1"/>
  <c r="C77" i="4"/>
  <c r="S77" i="4" s="1" a="1"/>
  <c r="S77" i="4" s="1"/>
  <c r="T77" i="4" s="1"/>
  <c r="U77" i="4" s="1"/>
  <c r="C78" i="4"/>
  <c r="C79" i="4"/>
  <c r="C80" i="4"/>
  <c r="C81" i="4"/>
  <c r="C82" i="4"/>
  <c r="C83" i="4"/>
  <c r="S83" i="4" s="1" a="1"/>
  <c r="S83" i="4" s="1"/>
  <c r="T83" i="4" s="1"/>
  <c r="U83" i="4" s="1"/>
  <c r="C84" i="4"/>
  <c r="S84" i="4" s="1" a="1"/>
  <c r="S84" i="4" s="1"/>
  <c r="T84" i="4" s="1"/>
  <c r="U84" i="4" s="1"/>
  <c r="C85" i="4"/>
  <c r="S85" i="4" s="1" a="1"/>
  <c r="S85" i="4" s="1"/>
  <c r="T85" i="4" s="1"/>
  <c r="U85" i="4" s="1"/>
  <c r="C86" i="4"/>
  <c r="C87" i="4"/>
  <c r="C88" i="4"/>
  <c r="C89" i="4"/>
  <c r="C90" i="4"/>
  <c r="S90" i="4" s="1" a="1"/>
  <c r="S90" i="4" s="1"/>
  <c r="T90" i="4" s="1"/>
  <c r="U90" i="4" s="1"/>
  <c r="C91" i="4"/>
  <c r="C92" i="4"/>
  <c r="S92" i="4" s="1" a="1"/>
  <c r="S92" i="4" s="1"/>
  <c r="T92" i="4" s="1"/>
  <c r="U92" i="4" s="1"/>
  <c r="C93" i="4"/>
  <c r="S93" i="4" s="1" a="1"/>
  <c r="S93" i="4" s="1"/>
  <c r="T93" i="4" s="1"/>
  <c r="U93" i="4" s="1"/>
  <c r="C94" i="4"/>
  <c r="C95" i="4"/>
  <c r="C96" i="4"/>
  <c r="C97" i="4"/>
  <c r="C98" i="4"/>
  <c r="C99" i="4"/>
  <c r="S99" i="4" s="1" a="1"/>
  <c r="S99" i="4" s="1"/>
  <c r="T99" i="4" s="1"/>
  <c r="U99" i="4" s="1"/>
  <c r="C100" i="4"/>
  <c r="S100" i="4" s="1" a="1"/>
  <c r="S100" i="4" s="1"/>
  <c r="T100" i="4" s="1"/>
  <c r="U100" i="4" s="1"/>
  <c r="C101" i="4"/>
  <c r="S101" i="4" s="1" a="1"/>
  <c r="S101" i="4" s="1"/>
  <c r="T101" i="4" s="1"/>
  <c r="U101" i="4" s="1"/>
  <c r="C102" i="4"/>
  <c r="C103" i="4"/>
  <c r="C104" i="4"/>
  <c r="C105" i="4"/>
  <c r="C106" i="4"/>
  <c r="S106" i="4" s="1" a="1"/>
  <c r="S106" i="4" s="1"/>
  <c r="T106" i="4" s="1"/>
  <c r="U106" i="4" s="1"/>
  <c r="C107" i="4"/>
  <c r="C108" i="4"/>
  <c r="S108" i="4" s="1" a="1"/>
  <c r="S108" i="4" s="1"/>
  <c r="T108" i="4" s="1"/>
  <c r="U108" i="4" s="1"/>
  <c r="C109" i="4"/>
  <c r="S109" i="4" s="1" a="1"/>
  <c r="S109" i="4" s="1"/>
  <c r="T109" i="4" s="1"/>
  <c r="U109" i="4" s="1"/>
  <c r="C110" i="4"/>
  <c r="C111" i="4"/>
  <c r="C112" i="4"/>
  <c r="C113" i="4"/>
  <c r="C114" i="4"/>
  <c r="C115" i="4"/>
  <c r="S115" i="4" s="1" a="1"/>
  <c r="S115" i="4" s="1"/>
  <c r="T115" i="4" s="1"/>
  <c r="U115" i="4" s="1"/>
  <c r="C116" i="4"/>
  <c r="S116" i="4" s="1" a="1"/>
  <c r="S116" i="4" s="1"/>
  <c r="T116" i="4" s="1"/>
  <c r="U116" i="4" s="1"/>
  <c r="C117" i="4"/>
  <c r="S117" i="4" s="1" a="1"/>
  <c r="S117" i="4" s="1"/>
  <c r="T117" i="4" s="1"/>
  <c r="U117" i="4" s="1"/>
  <c r="C118" i="4"/>
  <c r="C119" i="4"/>
  <c r="C120" i="4"/>
  <c r="C121" i="4"/>
  <c r="C122" i="4"/>
  <c r="S122" i="4" s="1" a="1"/>
  <c r="S122" i="4" s="1"/>
  <c r="T122" i="4" s="1"/>
  <c r="U122" i="4" s="1"/>
  <c r="C123" i="4"/>
  <c r="C124" i="4"/>
  <c r="S124" i="4" s="1" a="1"/>
  <c r="S124" i="4" s="1"/>
  <c r="T124" i="4" s="1"/>
  <c r="U124" i="4" s="1"/>
  <c r="C125" i="4"/>
  <c r="S125" i="4" s="1" a="1"/>
  <c r="S125" i="4" s="1"/>
  <c r="T125" i="4" s="1"/>
  <c r="U125" i="4" s="1"/>
  <c r="C126" i="4"/>
  <c r="S126" i="4" s="1" a="1"/>
  <c r="S126" i="4" s="1"/>
  <c r="T126" i="4" s="1"/>
  <c r="U126" i="4" s="1"/>
  <c r="C127" i="4"/>
  <c r="C128" i="4"/>
  <c r="C129" i="4"/>
  <c r="C130" i="4"/>
  <c r="C131" i="4"/>
  <c r="S131" i="4" s="1" a="1"/>
  <c r="S131" i="4" s="1"/>
  <c r="T131" i="4" s="1"/>
  <c r="U131" i="4" s="1"/>
  <c r="C132" i="4"/>
  <c r="S132" i="4" s="1" a="1"/>
  <c r="S132" i="4" s="1"/>
  <c r="T132" i="4" s="1"/>
  <c r="U132" i="4" s="1"/>
  <c r="C133" i="4"/>
  <c r="S133" i="4" s="1" a="1"/>
  <c r="S133" i="4" s="1"/>
  <c r="T133" i="4" s="1"/>
  <c r="U133" i="4" s="1"/>
  <c r="C134" i="4"/>
  <c r="C135" i="4"/>
  <c r="C136" i="4"/>
  <c r="C137" i="4"/>
  <c r="C138" i="4"/>
  <c r="S138" i="4" s="1" a="1"/>
  <c r="S138" i="4" s="1"/>
  <c r="T138" i="4" s="1"/>
  <c r="U138" i="4" s="1"/>
  <c r="C139" i="4"/>
  <c r="C140" i="4"/>
  <c r="S140" i="4" s="1" a="1"/>
  <c r="S140" i="4" s="1"/>
  <c r="T140" i="4" s="1"/>
  <c r="U140" i="4" s="1"/>
  <c r="C141" i="4"/>
  <c r="S141" i="4" s="1" a="1"/>
  <c r="S141" i="4" s="1"/>
  <c r="T141" i="4" s="1"/>
  <c r="U141" i="4" s="1"/>
  <c r="C142" i="4"/>
  <c r="C143" i="4"/>
  <c r="C144" i="4"/>
  <c r="C145" i="4"/>
  <c r="C146" i="4"/>
  <c r="C147" i="4"/>
  <c r="S147" i="4" s="1" a="1"/>
  <c r="S147" i="4" s="1"/>
  <c r="T147" i="4" s="1"/>
  <c r="U147" i="4" s="1"/>
  <c r="C148" i="4"/>
  <c r="S148" i="4" s="1" a="1"/>
  <c r="S148" i="4" s="1"/>
  <c r="T148" i="4" s="1"/>
  <c r="U148" i="4" s="1"/>
  <c r="C149" i="4"/>
  <c r="S149" i="4" s="1" a="1"/>
  <c r="S149" i="4" s="1"/>
  <c r="T149" i="4" s="1"/>
  <c r="U149" i="4" s="1"/>
  <c r="C150" i="4"/>
  <c r="C151" i="4"/>
  <c r="C152" i="4"/>
  <c r="C153" i="4"/>
  <c r="C154" i="4"/>
  <c r="S154" i="4" s="1" a="1"/>
  <c r="S154" i="4" s="1"/>
  <c r="T154" i="4" s="1"/>
  <c r="U154" i="4" s="1"/>
  <c r="C155" i="4"/>
  <c r="C156" i="4"/>
  <c r="S156" i="4" s="1" a="1"/>
  <c r="S156" i="4" s="1"/>
  <c r="T156" i="4" s="1"/>
  <c r="U156" i="4" s="1"/>
  <c r="C157" i="4"/>
  <c r="S157" i="4" s="1" a="1"/>
  <c r="S157" i="4" s="1"/>
  <c r="T157" i="4" s="1"/>
  <c r="U157" i="4" s="1"/>
  <c r="C158" i="4"/>
  <c r="S158" i="4" s="1" a="1"/>
  <c r="S158" i="4" s="1"/>
  <c r="T158" i="4" s="1"/>
  <c r="U158" i="4" s="1"/>
  <c r="C159" i="4"/>
  <c r="C160" i="4"/>
  <c r="C161" i="4"/>
  <c r="C162" i="4"/>
  <c r="C163" i="4"/>
  <c r="S163" i="4" s="1" a="1"/>
  <c r="S163" i="4" s="1"/>
  <c r="T163" i="4" s="1"/>
  <c r="U163" i="4" s="1"/>
  <c r="C164" i="4"/>
  <c r="S164" i="4" s="1" a="1"/>
  <c r="S164" i="4" s="1"/>
  <c r="T164" i="4" s="1"/>
  <c r="U164" i="4" s="1"/>
  <c r="C165" i="4"/>
  <c r="S165" i="4" s="1" a="1"/>
  <c r="S165" i="4" s="1"/>
  <c r="T165" i="4" s="1"/>
  <c r="U165" i="4" s="1"/>
  <c r="C166" i="4"/>
  <c r="C167" i="4"/>
  <c r="C168" i="4"/>
  <c r="C169" i="4"/>
  <c r="C170" i="4"/>
  <c r="S170" i="4" s="1" a="1"/>
  <c r="S170" i="4" s="1"/>
  <c r="T170" i="4" s="1"/>
  <c r="U170" i="4" s="1"/>
  <c r="C171" i="4"/>
  <c r="C172" i="4"/>
  <c r="S172" i="4" s="1" a="1"/>
  <c r="S172" i="4" s="1"/>
  <c r="T172" i="4" s="1"/>
  <c r="U172" i="4" s="1"/>
  <c r="C173" i="4"/>
  <c r="S173" i="4" s="1" a="1"/>
  <c r="S173" i="4" s="1"/>
  <c r="T173" i="4" s="1"/>
  <c r="U173" i="4" s="1"/>
  <c r="C174" i="4"/>
  <c r="S174" i="4" s="1" a="1"/>
  <c r="S174" i="4" s="1"/>
  <c r="T174" i="4" s="1"/>
  <c r="U174" i="4" s="1"/>
  <c r="C175" i="4"/>
  <c r="C176" i="4"/>
  <c r="C177" i="4"/>
  <c r="C178" i="4"/>
  <c r="C179" i="4"/>
  <c r="S179" i="4" s="1" a="1"/>
  <c r="S179" i="4" s="1"/>
  <c r="T179" i="4" s="1"/>
  <c r="U179" i="4" s="1"/>
  <c r="C180" i="4"/>
  <c r="S180" i="4" s="1" a="1"/>
  <c r="S180" i="4" s="1"/>
  <c r="T180" i="4" s="1"/>
  <c r="U180" i="4" s="1"/>
  <c r="C181" i="4"/>
  <c r="S181" i="4" s="1" a="1"/>
  <c r="S181" i="4" s="1"/>
  <c r="T181" i="4" s="1"/>
  <c r="U181" i="4" s="1"/>
  <c r="C182" i="4"/>
  <c r="C183" i="4"/>
  <c r="C184" i="4"/>
  <c r="C185" i="4"/>
  <c r="C186" i="4"/>
  <c r="S186" i="4" s="1" a="1"/>
  <c r="S186" i="4" s="1"/>
  <c r="T186" i="4" s="1"/>
  <c r="U186" i="4" s="1"/>
  <c r="C187" i="4"/>
  <c r="C188" i="4"/>
  <c r="S188" i="4" s="1" a="1"/>
  <c r="S188" i="4" s="1"/>
  <c r="T188" i="4" s="1"/>
  <c r="U188" i="4" s="1"/>
  <c r="C189" i="4"/>
  <c r="S189" i="4" s="1" a="1"/>
  <c r="S189" i="4" s="1"/>
  <c r="T189" i="4" s="1"/>
  <c r="U189" i="4" s="1"/>
  <c r="C190" i="4"/>
  <c r="C191" i="4"/>
  <c r="C192" i="4"/>
  <c r="C193" i="4"/>
  <c r="C194" i="4"/>
  <c r="C195" i="4"/>
  <c r="S195" i="4" s="1" a="1"/>
  <c r="S195" i="4" s="1"/>
  <c r="T195" i="4" s="1"/>
  <c r="U195" i="4" s="1"/>
  <c r="C196" i="4"/>
  <c r="S196" i="4" s="1" a="1"/>
  <c r="S196" i="4" s="1"/>
  <c r="T196" i="4" s="1"/>
  <c r="U196" i="4" s="1"/>
  <c r="C197" i="4"/>
  <c r="S197" i="4" s="1" a="1"/>
  <c r="S197" i="4" s="1"/>
  <c r="T197" i="4" s="1"/>
  <c r="U197" i="4" s="1"/>
  <c r="C198" i="4"/>
  <c r="C199" i="4"/>
  <c r="C200" i="4"/>
  <c r="C201" i="4"/>
  <c r="C202" i="4"/>
  <c r="S202" i="4" s="1" a="1"/>
  <c r="S202" i="4" s="1"/>
  <c r="T202" i="4" s="1"/>
  <c r="U202" i="4" s="1"/>
  <c r="C203" i="4"/>
  <c r="C204" i="4"/>
  <c r="S204" i="4" s="1" a="1"/>
  <c r="S204" i="4" s="1"/>
  <c r="T204" i="4" s="1"/>
  <c r="U204" i="4" s="1"/>
  <c r="C205" i="4"/>
  <c r="S205" i="4" s="1" a="1"/>
  <c r="S205" i="4" s="1"/>
  <c r="T205" i="4" s="1"/>
  <c r="U205" i="4" s="1"/>
  <c r="C206" i="4"/>
  <c r="S206" i="4" s="1" a="1"/>
  <c r="S206" i="4" s="1"/>
  <c r="T206" i="4" s="1"/>
  <c r="U206" i="4" s="1"/>
  <c r="C207" i="4"/>
  <c r="C208" i="4"/>
  <c r="C209" i="4"/>
  <c r="C210" i="4"/>
  <c r="C211" i="4"/>
  <c r="S211" i="4" s="1" a="1"/>
  <c r="S211" i="4" s="1"/>
  <c r="T211" i="4" s="1"/>
  <c r="U211" i="4" s="1"/>
  <c r="C212" i="4"/>
  <c r="S212" i="4" s="1" a="1"/>
  <c r="S212" i="4" s="1"/>
  <c r="T212" i="4" s="1"/>
  <c r="U212" i="4" s="1"/>
  <c r="C213" i="4"/>
  <c r="S213" i="4" s="1" a="1"/>
  <c r="S213" i="4" s="1"/>
  <c r="T213" i="4" s="1"/>
  <c r="U213" i="4" s="1"/>
  <c r="C214" i="4"/>
  <c r="C215" i="4"/>
  <c r="C216" i="4"/>
  <c r="C217" i="4"/>
  <c r="C218" i="4"/>
  <c r="S218" i="4" s="1" a="1"/>
  <c r="S218" i="4" s="1"/>
  <c r="T218" i="4" s="1"/>
  <c r="U218" i="4" s="1"/>
  <c r="C219" i="4"/>
  <c r="C220" i="4"/>
  <c r="S220" i="4" s="1" a="1"/>
  <c r="S220" i="4" s="1"/>
  <c r="T220" i="4" s="1"/>
  <c r="U220" i="4" s="1"/>
  <c r="C221" i="4"/>
  <c r="S221" i="4" s="1" a="1"/>
  <c r="S221" i="4" s="1"/>
  <c r="T221" i="4" s="1"/>
  <c r="U221" i="4" s="1"/>
  <c r="C222" i="4"/>
  <c r="C223" i="4"/>
  <c r="C224" i="4"/>
  <c r="C225" i="4"/>
  <c r="C226" i="4"/>
  <c r="C227" i="4"/>
  <c r="S227" i="4" s="1" a="1"/>
  <c r="S227" i="4" s="1"/>
  <c r="T227" i="4" s="1"/>
  <c r="U227" i="4" s="1"/>
  <c r="C228" i="4"/>
  <c r="S228" i="4" s="1" a="1"/>
  <c r="S228" i="4" s="1"/>
  <c r="T228" i="4" s="1"/>
  <c r="U228" i="4" s="1"/>
  <c r="C229" i="4"/>
  <c r="S229" i="4" s="1" a="1"/>
  <c r="S229" i="4" s="1"/>
  <c r="T229" i="4" s="1"/>
  <c r="U229" i="4" s="1"/>
  <c r="C230" i="4"/>
  <c r="C231" i="4"/>
  <c r="C232" i="4"/>
  <c r="C233" i="4"/>
  <c r="C234" i="4"/>
  <c r="S234" i="4" s="1" a="1"/>
  <c r="S234" i="4" s="1"/>
  <c r="T234" i="4" s="1"/>
  <c r="U234" i="4" s="1"/>
  <c r="C235" i="4"/>
  <c r="C236" i="4"/>
  <c r="S236" i="4" s="1" a="1"/>
  <c r="S236" i="4" s="1"/>
  <c r="T236" i="4" s="1"/>
  <c r="U236" i="4" s="1"/>
  <c r="C237" i="4"/>
  <c r="S237" i="4" s="1" a="1"/>
  <c r="S237" i="4" s="1"/>
  <c r="T237" i="4" s="1"/>
  <c r="U237" i="4" s="1"/>
  <c r="C238" i="4"/>
  <c r="C239" i="4"/>
  <c r="C240" i="4"/>
  <c r="C241" i="4"/>
  <c r="C242" i="4"/>
  <c r="C243" i="4"/>
  <c r="S243" i="4" s="1" a="1"/>
  <c r="S243" i="4" s="1"/>
  <c r="T243" i="4" s="1"/>
  <c r="U243" i="4" s="1"/>
  <c r="C244" i="4"/>
  <c r="S244" i="4" s="1" a="1"/>
  <c r="S244" i="4" s="1"/>
  <c r="T244" i="4" s="1"/>
  <c r="U244" i="4" s="1"/>
  <c r="C245" i="4"/>
  <c r="S245" i="4" s="1" a="1"/>
  <c r="S245" i="4" s="1"/>
  <c r="T245" i="4" s="1"/>
  <c r="U245" i="4" s="1"/>
  <c r="C246" i="4"/>
  <c r="C247" i="4"/>
  <c r="C248" i="4"/>
  <c r="C249" i="4"/>
  <c r="C250" i="4"/>
  <c r="S250" i="4" s="1" a="1"/>
  <c r="S250" i="4" s="1"/>
  <c r="T250" i="4" s="1"/>
  <c r="U250" i="4" s="1"/>
  <c r="C251" i="4"/>
  <c r="C252" i="4"/>
  <c r="S252" i="4" s="1" a="1"/>
  <c r="S252" i="4" s="1"/>
  <c r="T252" i="4" s="1"/>
  <c r="U252" i="4" s="1"/>
  <c r="C253" i="4"/>
  <c r="S253" i="4" s="1" a="1"/>
  <c r="S253" i="4" s="1"/>
  <c r="T253" i="4" s="1"/>
  <c r="U253" i="4" s="1"/>
  <c r="C254" i="4"/>
  <c r="C255" i="4"/>
  <c r="C256" i="4"/>
  <c r="C257" i="4"/>
  <c r="C258" i="4"/>
  <c r="C259" i="4"/>
  <c r="S259" i="4" s="1" a="1"/>
  <c r="S259" i="4" s="1"/>
  <c r="T259" i="4" s="1"/>
  <c r="U259" i="4" s="1"/>
  <c r="C260" i="4"/>
  <c r="S260" i="4" s="1" a="1"/>
  <c r="S260" i="4" s="1"/>
  <c r="T260" i="4" s="1"/>
  <c r="U260" i="4" s="1"/>
  <c r="C261" i="4"/>
  <c r="S261" i="4" s="1" a="1"/>
  <c r="S261" i="4" s="1"/>
  <c r="T261" i="4" s="1"/>
  <c r="U261" i="4" s="1"/>
  <c r="C262" i="4"/>
  <c r="C263" i="4"/>
  <c r="C264" i="4"/>
  <c r="C265" i="4"/>
  <c r="C266" i="4"/>
  <c r="S266" i="4" s="1" a="1"/>
  <c r="S266" i="4" s="1"/>
  <c r="T266" i="4" s="1"/>
  <c r="U266" i="4" s="1"/>
  <c r="C267" i="4"/>
  <c r="C268" i="4"/>
  <c r="S268" i="4" s="1" a="1"/>
  <c r="S268" i="4" s="1"/>
  <c r="T268" i="4" s="1"/>
  <c r="U268" i="4" s="1"/>
  <c r="C269" i="4"/>
  <c r="S269" i="4" s="1" a="1"/>
  <c r="S269" i="4" s="1"/>
  <c r="T269" i="4" s="1"/>
  <c r="U269" i="4" s="1"/>
  <c r="C270" i="4"/>
  <c r="S270" i="4" s="1" a="1"/>
  <c r="S270" i="4" s="1"/>
  <c r="T270" i="4" s="1"/>
  <c r="U270" i="4" s="1"/>
  <c r="C271" i="4"/>
  <c r="C272" i="4"/>
  <c r="C273" i="4"/>
  <c r="C274" i="4"/>
  <c r="C275" i="4"/>
  <c r="S275" i="4" s="1" a="1"/>
  <c r="S275" i="4" s="1"/>
  <c r="T275" i="4" s="1"/>
  <c r="U275" i="4" s="1"/>
  <c r="C276" i="4"/>
  <c r="S276" i="4" s="1" a="1"/>
  <c r="S276" i="4" s="1"/>
  <c r="T276" i="4" s="1"/>
  <c r="U276" i="4" s="1"/>
  <c r="C277" i="4"/>
  <c r="S277" i="4" s="1" a="1"/>
  <c r="S277" i="4" s="1"/>
  <c r="T277" i="4" s="1"/>
  <c r="U277" i="4" s="1"/>
  <c r="C278" i="4"/>
  <c r="C279" i="4"/>
  <c r="C280" i="4"/>
  <c r="C281" i="4"/>
  <c r="C282" i="4"/>
  <c r="S282" i="4" s="1" a="1"/>
  <c r="S282" i="4" s="1"/>
  <c r="T282" i="4" s="1"/>
  <c r="U282" i="4" s="1"/>
  <c r="C283" i="4"/>
  <c r="C284" i="4"/>
  <c r="S284" i="4" s="1" a="1"/>
  <c r="S284" i="4" s="1"/>
  <c r="T284" i="4" s="1"/>
  <c r="U284" i="4" s="1"/>
  <c r="C285" i="4"/>
  <c r="S285" i="4" s="1" a="1"/>
  <c r="S285" i="4" s="1"/>
  <c r="T285" i="4" s="1"/>
  <c r="U285" i="4" s="1"/>
  <c r="C286" i="4"/>
  <c r="S286" i="4" s="1" a="1"/>
  <c r="S286" i="4" s="1"/>
  <c r="T286" i="4" s="1"/>
  <c r="U286" i="4" s="1"/>
  <c r="C287" i="4"/>
  <c r="C288" i="4"/>
  <c r="C289" i="4"/>
  <c r="C290" i="4"/>
  <c r="C291" i="4"/>
  <c r="S291" i="4" s="1" a="1"/>
  <c r="S291" i="4" s="1"/>
  <c r="T291" i="4" s="1"/>
  <c r="U291" i="4" s="1"/>
  <c r="C292" i="4"/>
  <c r="S292" i="4" s="1" a="1"/>
  <c r="S292" i="4" s="1"/>
  <c r="T292" i="4" s="1"/>
  <c r="U292" i="4" s="1"/>
  <c r="C293" i="4"/>
  <c r="S293" i="4" s="1" a="1"/>
  <c r="S293" i="4" s="1"/>
  <c r="T293" i="4" s="1"/>
  <c r="U293" i="4" s="1"/>
  <c r="C294" i="4"/>
  <c r="C295" i="4"/>
  <c r="C296" i="4"/>
  <c r="C297" i="4"/>
  <c r="C298" i="4"/>
  <c r="S298" i="4" s="1" a="1"/>
  <c r="S298" i="4" s="1"/>
  <c r="T298" i="4" s="1"/>
  <c r="U298" i="4" s="1"/>
  <c r="C299" i="4"/>
  <c r="C300" i="4"/>
  <c r="S300" i="4" s="1" a="1"/>
  <c r="S300" i="4" s="1"/>
  <c r="T300" i="4" s="1"/>
  <c r="U300" i="4" s="1"/>
  <c r="C301" i="4"/>
  <c r="S301" i="4" s="1" a="1"/>
  <c r="S301" i="4" s="1"/>
  <c r="T301" i="4" s="1"/>
  <c r="U301" i="4" s="1"/>
  <c r="C302" i="4"/>
  <c r="S302" i="4" s="1" a="1"/>
  <c r="S302" i="4" s="1"/>
  <c r="T302" i="4" s="1"/>
  <c r="U302" i="4" s="1"/>
  <c r="C303" i="4"/>
  <c r="C304" i="4"/>
  <c r="C305" i="4"/>
  <c r="C306" i="4"/>
  <c r="C307" i="4"/>
  <c r="S307" i="4" s="1" a="1"/>
  <c r="S307" i="4" s="1"/>
  <c r="T307" i="4" s="1"/>
  <c r="U307" i="4" s="1"/>
  <c r="C308" i="4"/>
  <c r="S308" i="4" s="1" a="1"/>
  <c r="S308" i="4" s="1"/>
  <c r="T308" i="4" s="1"/>
  <c r="U308" i="4" s="1"/>
  <c r="C309" i="4"/>
  <c r="S309" i="4" s="1" a="1"/>
  <c r="S309" i="4" s="1"/>
  <c r="T309" i="4" s="1"/>
  <c r="U309" i="4" s="1"/>
  <c r="C310" i="4"/>
  <c r="C311" i="4"/>
  <c r="C312" i="4"/>
  <c r="C313" i="4"/>
  <c r="C314" i="4"/>
  <c r="S314" i="4" s="1" a="1"/>
  <c r="S314" i="4" s="1"/>
  <c r="T314" i="4" s="1"/>
  <c r="U314" i="4" s="1"/>
  <c r="C315" i="4"/>
  <c r="C316" i="4"/>
  <c r="S316" i="4" s="1" a="1"/>
  <c r="S316" i="4" s="1"/>
  <c r="T316" i="4" s="1"/>
  <c r="U316" i="4" s="1"/>
  <c r="C317" i="4"/>
  <c r="S317" i="4" s="1" a="1"/>
  <c r="S317" i="4" s="1"/>
  <c r="T317" i="4" s="1"/>
  <c r="U317" i="4" s="1"/>
  <c r="C318" i="4"/>
  <c r="S318" i="4" s="1" a="1"/>
  <c r="S318" i="4" s="1"/>
  <c r="T318" i="4" s="1"/>
  <c r="U318" i="4" s="1"/>
  <c r="C319" i="4"/>
  <c r="C320" i="4"/>
  <c r="C321" i="4"/>
  <c r="C322" i="4"/>
  <c r="C323" i="4"/>
  <c r="S323" i="4" s="1" a="1"/>
  <c r="S323" i="4" s="1"/>
  <c r="T323" i="4" s="1"/>
  <c r="U323" i="4" s="1"/>
  <c r="C324" i="4"/>
  <c r="S324" i="4" s="1" a="1"/>
  <c r="S324" i="4" s="1"/>
  <c r="T324" i="4" s="1"/>
  <c r="U324" i="4" s="1"/>
  <c r="C325" i="4"/>
  <c r="S325" i="4" s="1" a="1"/>
  <c r="S325" i="4" s="1"/>
  <c r="T325" i="4" s="1"/>
  <c r="U325" i="4" s="1"/>
  <c r="C326" i="4"/>
  <c r="C327" i="4"/>
  <c r="C328" i="4"/>
  <c r="C329" i="4"/>
  <c r="C330" i="4"/>
  <c r="S330" i="4" s="1" a="1"/>
  <c r="S330" i="4" s="1"/>
  <c r="T330" i="4" s="1"/>
  <c r="U330" i="4" s="1"/>
  <c r="C331" i="4"/>
  <c r="C332" i="4"/>
  <c r="S332" i="4" s="1" a="1"/>
  <c r="S332" i="4" s="1"/>
  <c r="T332" i="4" s="1"/>
  <c r="U332" i="4" s="1"/>
  <c r="C333" i="4"/>
  <c r="S333" i="4" s="1" a="1"/>
  <c r="S333" i="4" s="1"/>
  <c r="T333" i="4" s="1"/>
  <c r="U333" i="4" s="1"/>
  <c r="C334" i="4"/>
  <c r="C335" i="4"/>
  <c r="C336" i="4"/>
  <c r="C337" i="4"/>
  <c r="C338" i="4"/>
  <c r="C339" i="4"/>
  <c r="S339" i="4" s="1" a="1"/>
  <c r="S339" i="4" s="1"/>
  <c r="T339" i="4" s="1"/>
  <c r="U339" i="4" s="1"/>
  <c r="C340" i="4"/>
  <c r="S340" i="4" s="1" a="1"/>
  <c r="S340" i="4" s="1"/>
  <c r="T340" i="4" s="1"/>
  <c r="U340" i="4" s="1"/>
  <c r="C341" i="4"/>
  <c r="S341" i="4" s="1" a="1"/>
  <c r="S341" i="4" s="1"/>
  <c r="T341" i="4" s="1"/>
  <c r="U341" i="4" s="1"/>
  <c r="C342" i="4"/>
  <c r="C343" i="4"/>
  <c r="C344" i="4"/>
  <c r="C345" i="4"/>
  <c r="C346" i="4"/>
  <c r="S346" i="4" s="1" a="1"/>
  <c r="S346" i="4" s="1"/>
  <c r="T346" i="4" s="1"/>
  <c r="U346" i="4" s="1"/>
  <c r="C347" i="4"/>
  <c r="C348" i="4"/>
  <c r="S348" i="4" s="1" a="1"/>
  <c r="S348" i="4" s="1"/>
  <c r="T348" i="4" s="1"/>
  <c r="U348" i="4" s="1"/>
  <c r="C349" i="4"/>
  <c r="C350" i="4"/>
  <c r="S350" i="4" s="1" a="1"/>
  <c r="S350" i="4" s="1"/>
  <c r="T350" i="4" s="1"/>
  <c r="U350" i="4" s="1"/>
  <c r="C351" i="4"/>
  <c r="C352" i="4"/>
  <c r="C353" i="4"/>
  <c r="C354" i="4"/>
  <c r="C355" i="4"/>
  <c r="S355" i="4" s="1" a="1"/>
  <c r="S355" i="4" s="1"/>
  <c r="T355" i="4" s="1"/>
  <c r="U355" i="4" s="1"/>
  <c r="C356" i="4"/>
  <c r="S356" i="4" s="1" a="1"/>
  <c r="S356" i="4" s="1"/>
  <c r="T356" i="4" s="1"/>
  <c r="U356" i="4" s="1"/>
  <c r="C357" i="4"/>
  <c r="S357" i="4" s="1" a="1"/>
  <c r="S357" i="4" s="1"/>
  <c r="T357" i="4" s="1"/>
  <c r="U357" i="4" s="1"/>
  <c r="C358" i="4"/>
  <c r="C359" i="4"/>
  <c r="C360" i="4"/>
  <c r="C361" i="4"/>
  <c r="C362" i="4"/>
  <c r="S362" i="4" s="1" a="1"/>
  <c r="S362" i="4" s="1"/>
  <c r="T362" i="4" s="1"/>
  <c r="U362" i="4" s="1"/>
  <c r="C363" i="4"/>
  <c r="C364" i="4"/>
  <c r="S364" i="4" s="1" a="1"/>
  <c r="S364" i="4" s="1"/>
  <c r="T364" i="4" s="1"/>
  <c r="U364" i="4" s="1"/>
  <c r="C365" i="4"/>
  <c r="C366" i="4"/>
  <c r="C367" i="4"/>
  <c r="C368" i="4"/>
  <c r="C369" i="4"/>
  <c r="C370" i="4"/>
  <c r="C371" i="4"/>
  <c r="S371" i="4" s="1" a="1"/>
  <c r="S371" i="4" s="1"/>
  <c r="T371" i="4" s="1"/>
  <c r="U371" i="4" s="1"/>
  <c r="C372" i="4"/>
  <c r="S372" i="4" s="1" a="1"/>
  <c r="S372" i="4" s="1"/>
  <c r="T372" i="4" s="1"/>
  <c r="U372" i="4" s="1"/>
  <c r="C373" i="4"/>
  <c r="S373" i="4" s="1" a="1"/>
  <c r="S373" i="4" s="1"/>
  <c r="T373" i="4" s="1"/>
  <c r="U373" i="4" s="1"/>
  <c r="C374" i="4"/>
  <c r="C375" i="4"/>
  <c r="C376" i="4"/>
  <c r="C377" i="4"/>
  <c r="C378" i="4"/>
  <c r="S378" i="4" s="1" a="1"/>
  <c r="S378" i="4" s="1"/>
  <c r="T378" i="4" s="1"/>
  <c r="U378" i="4" s="1"/>
  <c r="C379" i="4"/>
  <c r="C380" i="4"/>
  <c r="S380" i="4" s="1" a="1"/>
  <c r="S380" i="4" s="1"/>
  <c r="T380" i="4" s="1"/>
  <c r="U380" i="4" s="1"/>
  <c r="C381" i="4"/>
  <c r="S381" i="4" s="1" a="1"/>
  <c r="S381" i="4" s="1"/>
  <c r="T381" i="4" s="1"/>
  <c r="U381" i="4" s="1"/>
  <c r="C382" i="4"/>
  <c r="C383" i="4"/>
  <c r="C384" i="4"/>
  <c r="C385" i="4"/>
  <c r="C386" i="4"/>
  <c r="C387" i="4"/>
  <c r="S387" i="4" s="1" a="1"/>
  <c r="S387" i="4" s="1"/>
  <c r="T387" i="4" s="1"/>
  <c r="U387" i="4" s="1"/>
  <c r="C388" i="4"/>
  <c r="S388" i="4" s="1" a="1"/>
  <c r="S388" i="4" s="1"/>
  <c r="T388" i="4" s="1"/>
  <c r="U388" i="4" s="1"/>
  <c r="C389" i="4"/>
  <c r="S389" i="4" s="1" a="1"/>
  <c r="S389" i="4" s="1"/>
  <c r="T389" i="4" s="1"/>
  <c r="U389" i="4" s="1"/>
  <c r="C390" i="4"/>
  <c r="C391" i="4"/>
  <c r="C392" i="4"/>
  <c r="C393" i="4"/>
  <c r="C394" i="4"/>
  <c r="S394" i="4" s="1" a="1"/>
  <c r="S394" i="4" s="1"/>
  <c r="T394" i="4" s="1"/>
  <c r="U394" i="4" s="1"/>
  <c r="C395" i="4"/>
  <c r="C396" i="4"/>
  <c r="S396" i="4" s="1" a="1"/>
  <c r="S396" i="4" s="1"/>
  <c r="T396" i="4" s="1"/>
  <c r="U396" i="4" s="1"/>
  <c r="C397" i="4"/>
  <c r="S397" i="4" s="1" a="1"/>
  <c r="S397" i="4" s="1"/>
  <c r="T397" i="4" s="1"/>
  <c r="U397" i="4" s="1"/>
  <c r="C398" i="4"/>
  <c r="C399" i="4"/>
  <c r="C400" i="4"/>
  <c r="C401" i="4"/>
  <c r="C402" i="4"/>
  <c r="C403" i="4"/>
  <c r="S403" i="4" s="1" a="1"/>
  <c r="S403" i="4" s="1"/>
  <c r="T403" i="4" s="1"/>
  <c r="U403" i="4" s="1"/>
  <c r="C404" i="4"/>
  <c r="S404" i="4" s="1" a="1"/>
  <c r="S404" i="4" s="1"/>
  <c r="T404" i="4" s="1"/>
  <c r="U404" i="4" s="1"/>
  <c r="C405" i="4"/>
  <c r="S405" i="4" s="1" a="1"/>
  <c r="S405" i="4" s="1"/>
  <c r="T405" i="4" s="1"/>
  <c r="U405" i="4" s="1"/>
  <c r="C406" i="4"/>
  <c r="C407" i="4"/>
  <c r="C408" i="4"/>
  <c r="C409" i="4"/>
  <c r="C410" i="4"/>
  <c r="S410" i="4" s="1" a="1"/>
  <c r="S410" i="4" s="1"/>
  <c r="T410" i="4" s="1"/>
  <c r="U410" i="4" s="1"/>
  <c r="C411" i="4"/>
  <c r="C412" i="4"/>
  <c r="S412" i="4" s="1" a="1"/>
  <c r="S412" i="4" s="1"/>
  <c r="T412" i="4" s="1"/>
  <c r="U412" i="4" s="1"/>
  <c r="C413" i="4"/>
  <c r="S413" i="4" s="1" a="1"/>
  <c r="S413" i="4" s="1"/>
  <c r="T413" i="4" s="1"/>
  <c r="U413" i="4" s="1"/>
  <c r="C414" i="4"/>
  <c r="S414" i="4" s="1" a="1"/>
  <c r="S414" i="4" s="1"/>
  <c r="T414" i="4" s="1"/>
  <c r="U414" i="4" s="1"/>
  <c r="C415" i="4"/>
  <c r="C416" i="4"/>
  <c r="C417" i="4"/>
  <c r="C418" i="4"/>
  <c r="C419" i="4"/>
  <c r="S419" i="4" s="1" a="1"/>
  <c r="S419" i="4" s="1"/>
  <c r="T419" i="4" s="1"/>
  <c r="U419" i="4" s="1"/>
  <c r="C420" i="4"/>
  <c r="S420" i="4" s="1" a="1"/>
  <c r="S420" i="4" s="1"/>
  <c r="T420" i="4" s="1"/>
  <c r="U420" i="4" s="1"/>
  <c r="C421" i="4"/>
  <c r="S421" i="4" s="1" a="1"/>
  <c r="S421" i="4" s="1"/>
  <c r="T421" i="4" s="1"/>
  <c r="U421" i="4" s="1"/>
  <c r="C422" i="4"/>
  <c r="C423" i="4"/>
  <c r="C424" i="4"/>
  <c r="C425" i="4"/>
  <c r="C426" i="4"/>
  <c r="S426" i="4" s="1" a="1"/>
  <c r="S426" i="4" s="1"/>
  <c r="T426" i="4" s="1"/>
  <c r="U426" i="4" s="1"/>
  <c r="C427" i="4"/>
  <c r="C428" i="4"/>
  <c r="S428" i="4" s="1" a="1"/>
  <c r="S428" i="4" s="1"/>
  <c r="T428" i="4" s="1"/>
  <c r="U428" i="4" s="1"/>
  <c r="C429" i="4"/>
  <c r="S429" i="4" s="1" a="1"/>
  <c r="S429" i="4" s="1"/>
  <c r="T429" i="4" s="1"/>
  <c r="U429" i="4" s="1"/>
  <c r="C430" i="4"/>
  <c r="S430" i="4" s="1" a="1"/>
  <c r="S430" i="4" s="1"/>
  <c r="T430" i="4" s="1"/>
  <c r="U430" i="4" s="1"/>
  <c r="C431" i="4"/>
  <c r="C432" i="4"/>
  <c r="C433" i="4"/>
  <c r="C434" i="4"/>
  <c r="C435" i="4"/>
  <c r="S435" i="4" s="1" a="1"/>
  <c r="S435" i="4" s="1"/>
  <c r="T435" i="4" s="1"/>
  <c r="U435" i="4" s="1"/>
  <c r="C436" i="4"/>
  <c r="S436" i="4" s="1" a="1"/>
  <c r="S436" i="4" s="1"/>
  <c r="T436" i="4" s="1"/>
  <c r="U436" i="4" s="1"/>
  <c r="C437" i="4"/>
  <c r="S437" i="4" s="1" a="1"/>
  <c r="S437" i="4" s="1"/>
  <c r="T437" i="4" s="1"/>
  <c r="U437" i="4" s="1"/>
  <c r="C438" i="4"/>
  <c r="C439" i="4"/>
  <c r="C440" i="4"/>
  <c r="C441" i="4"/>
  <c r="C442" i="4"/>
  <c r="S442" i="4" s="1" a="1"/>
  <c r="S442" i="4" s="1"/>
  <c r="T442" i="4" s="1"/>
  <c r="U442" i="4" s="1"/>
  <c r="C443" i="4"/>
  <c r="C444" i="4"/>
  <c r="S444" i="4" s="1" a="1"/>
  <c r="S444" i="4" s="1"/>
  <c r="T444" i="4" s="1"/>
  <c r="U444" i="4" s="1"/>
  <c r="C445" i="4"/>
  <c r="S445" i="4" s="1" a="1"/>
  <c r="S445" i="4" s="1"/>
  <c r="T445" i="4" s="1"/>
  <c r="U445" i="4" s="1"/>
  <c r="C446" i="4"/>
  <c r="S446" i="4" s="1" a="1"/>
  <c r="S446" i="4" s="1"/>
  <c r="T446" i="4" s="1"/>
  <c r="U446" i="4" s="1"/>
  <c r="C447" i="4"/>
  <c r="C448" i="4"/>
  <c r="C449" i="4"/>
  <c r="C450" i="4"/>
  <c r="C451" i="4"/>
  <c r="S451" i="4" s="1" a="1"/>
  <c r="S451" i="4" s="1"/>
  <c r="T451" i="4" s="1"/>
  <c r="U451" i="4" s="1"/>
  <c r="C452" i="4"/>
  <c r="S452" i="4" s="1" a="1"/>
  <c r="S452" i="4" s="1"/>
  <c r="T452" i="4" s="1"/>
  <c r="U452" i="4" s="1"/>
  <c r="C453" i="4"/>
  <c r="S453" i="4" s="1" a="1"/>
  <c r="S453" i="4" s="1"/>
  <c r="T453" i="4" s="1"/>
  <c r="U453" i="4" s="1"/>
  <c r="C454" i="4"/>
  <c r="C455" i="4"/>
  <c r="C456" i="4"/>
  <c r="C457" i="4"/>
  <c r="C458" i="4"/>
  <c r="S458" i="4" s="1" a="1"/>
  <c r="S458" i="4" s="1"/>
  <c r="T458" i="4" s="1"/>
  <c r="U458" i="4" s="1"/>
  <c r="C459" i="4"/>
  <c r="C460" i="4"/>
  <c r="S460" i="4" s="1" a="1"/>
  <c r="S460" i="4" s="1"/>
  <c r="T460" i="4" s="1"/>
  <c r="U460" i="4" s="1"/>
  <c r="C461" i="4"/>
  <c r="S461" i="4" s="1" a="1"/>
  <c r="S461" i="4" s="1"/>
  <c r="T461" i="4" s="1"/>
  <c r="U461" i="4" s="1"/>
  <c r="C462" i="4"/>
  <c r="S462" i="4" s="1" a="1"/>
  <c r="S462" i="4" s="1"/>
  <c r="T462" i="4" s="1"/>
  <c r="U462" i="4" s="1"/>
  <c r="C463" i="4"/>
  <c r="C464" i="4"/>
  <c r="C465" i="4"/>
  <c r="C466" i="4"/>
  <c r="C467" i="4"/>
  <c r="S467" i="4" s="1" a="1"/>
  <c r="S467" i="4" s="1"/>
  <c r="T467" i="4" s="1"/>
  <c r="U467" i="4" s="1"/>
  <c r="C468" i="4"/>
  <c r="S468" i="4" s="1" a="1"/>
  <c r="S468" i="4" s="1"/>
  <c r="T468" i="4" s="1"/>
  <c r="U468" i="4" s="1"/>
  <c r="C469" i="4"/>
  <c r="S469" i="4" s="1" a="1"/>
  <c r="S469" i="4" s="1"/>
  <c r="T469" i="4" s="1"/>
  <c r="U469" i="4" s="1"/>
  <c r="C470" i="4"/>
  <c r="C471" i="4"/>
  <c r="C472" i="4"/>
  <c r="C473" i="4"/>
  <c r="C474" i="4"/>
  <c r="S474" i="4" s="1" a="1"/>
  <c r="S474" i="4" s="1"/>
  <c r="T474" i="4" s="1"/>
  <c r="U474" i="4" s="1"/>
  <c r="C475" i="4"/>
  <c r="C476" i="4"/>
  <c r="S476" i="4" s="1" a="1"/>
  <c r="S476" i="4" s="1"/>
  <c r="T476" i="4" s="1"/>
  <c r="U476" i="4" s="1"/>
  <c r="C477" i="4"/>
  <c r="S477" i="4" s="1" a="1"/>
  <c r="S477" i="4" s="1"/>
  <c r="T477" i="4" s="1"/>
  <c r="U477" i="4" s="1"/>
  <c r="C478" i="4"/>
  <c r="S478" i="4" s="1" a="1"/>
  <c r="S478" i="4" s="1"/>
  <c r="T478" i="4" s="1"/>
  <c r="U478" i="4" s="1"/>
  <c r="C479" i="4"/>
  <c r="C480" i="4"/>
  <c r="C481" i="4"/>
  <c r="C482" i="4"/>
  <c r="C483" i="4"/>
  <c r="S483" i="4" s="1" a="1"/>
  <c r="S483" i="4" s="1"/>
  <c r="T483" i="4" s="1"/>
  <c r="U483" i="4" s="1"/>
  <c r="C484" i="4"/>
  <c r="S484" i="4" s="1" a="1"/>
  <c r="S484" i="4" s="1"/>
  <c r="T484" i="4" s="1"/>
  <c r="U484" i="4" s="1"/>
  <c r="C485" i="4"/>
  <c r="S485" i="4" s="1" a="1"/>
  <c r="S485" i="4" s="1"/>
  <c r="T485" i="4" s="1"/>
  <c r="U485" i="4" s="1"/>
  <c r="C486" i="4"/>
  <c r="C487" i="4"/>
  <c r="C488" i="4"/>
  <c r="C489" i="4"/>
  <c r="C490" i="4"/>
  <c r="S490" i="4" s="1" a="1"/>
  <c r="S490" i="4" s="1"/>
  <c r="T490" i="4" s="1"/>
  <c r="U490" i="4" s="1"/>
  <c r="C491" i="4"/>
  <c r="C492" i="4"/>
  <c r="S492" i="4" s="1" a="1"/>
  <c r="S492" i="4" s="1"/>
  <c r="T492" i="4" s="1"/>
  <c r="U492" i="4" s="1"/>
  <c r="C493" i="4"/>
  <c r="S493" i="4" s="1" a="1"/>
  <c r="S493" i="4" s="1"/>
  <c r="T493" i="4" s="1"/>
  <c r="U493" i="4" s="1"/>
  <c r="C494" i="4"/>
  <c r="S494" i="4" s="1" a="1"/>
  <c r="S494" i="4" s="1"/>
  <c r="T494" i="4" s="1"/>
  <c r="U494" i="4" s="1"/>
  <c r="C495" i="4"/>
  <c r="C496" i="4"/>
  <c r="C497" i="4"/>
  <c r="C498" i="4"/>
  <c r="C499" i="4"/>
  <c r="S499" i="4" s="1" a="1"/>
  <c r="S499" i="4" s="1"/>
  <c r="T499" i="4" s="1"/>
  <c r="U499" i="4" s="1"/>
  <c r="C500" i="4"/>
  <c r="S500" i="4" s="1" a="1"/>
  <c r="S500" i="4" s="1"/>
  <c r="T500" i="4" s="1"/>
  <c r="U500" i="4" s="1"/>
  <c r="C501" i="4"/>
  <c r="S501" i="4" s="1" a="1"/>
  <c r="S501" i="4" s="1"/>
  <c r="T501" i="4" s="1"/>
  <c r="U501" i="4" s="1"/>
  <c r="C502" i="4"/>
  <c r="C503" i="4"/>
  <c r="C504" i="4"/>
  <c r="C505" i="4"/>
  <c r="C506" i="4"/>
  <c r="S506" i="4" s="1" a="1"/>
  <c r="S506" i="4" s="1"/>
  <c r="T506" i="4" s="1"/>
  <c r="U506" i="4" s="1"/>
  <c r="C507" i="4"/>
  <c r="C508" i="4"/>
  <c r="S508" i="4" s="1" a="1"/>
  <c r="S508" i="4" s="1"/>
  <c r="T508" i="4" s="1"/>
  <c r="U508" i="4" s="1"/>
  <c r="C509" i="4"/>
  <c r="S509" i="4" s="1" a="1"/>
  <c r="S509" i="4" s="1"/>
  <c r="T509" i="4" s="1"/>
  <c r="U509" i="4" s="1"/>
  <c r="C510" i="4"/>
  <c r="S510" i="4" s="1" a="1"/>
  <c r="S510" i="4" s="1"/>
  <c r="T510" i="4" s="1"/>
  <c r="U510" i="4" s="1"/>
  <c r="C511" i="4"/>
  <c r="C512" i="4"/>
  <c r="C513" i="4"/>
  <c r="C514" i="4"/>
  <c r="C515" i="4"/>
  <c r="S515" i="4" s="1" a="1"/>
  <c r="S515" i="4" s="1"/>
  <c r="T515" i="4" s="1"/>
  <c r="U515" i="4" s="1"/>
  <c r="C516" i="4"/>
  <c r="S516" i="4" s="1" a="1"/>
  <c r="S516" i="4" s="1"/>
  <c r="T516" i="4" s="1"/>
  <c r="U516" i="4" s="1"/>
  <c r="C517" i="4"/>
  <c r="S517" i="4" s="1" a="1"/>
  <c r="S517" i="4" s="1"/>
  <c r="T517" i="4" s="1"/>
  <c r="U517" i="4" s="1"/>
  <c r="C518" i="4"/>
  <c r="C519" i="4"/>
  <c r="C520" i="4"/>
  <c r="C521" i="4"/>
  <c r="C522" i="4"/>
  <c r="S522" i="4" s="1" a="1"/>
  <c r="S522" i="4" s="1"/>
  <c r="T522" i="4" s="1"/>
  <c r="U522" i="4" s="1"/>
  <c r="C523" i="4"/>
  <c r="C524" i="4"/>
  <c r="S524" i="4" s="1" a="1"/>
  <c r="S524" i="4" s="1"/>
  <c r="T524" i="4" s="1"/>
  <c r="U524" i="4" s="1"/>
  <c r="C525" i="4"/>
  <c r="S525" i="4" s="1" a="1"/>
  <c r="S525" i="4" s="1"/>
  <c r="T525" i="4" s="1"/>
  <c r="U525" i="4" s="1"/>
  <c r="C526" i="4"/>
  <c r="S526" i="4" s="1" a="1"/>
  <c r="S526" i="4" s="1"/>
  <c r="T526" i="4" s="1"/>
  <c r="U526" i="4" s="1"/>
  <c r="C527" i="4"/>
  <c r="C528" i="4"/>
  <c r="C529" i="4"/>
  <c r="C530" i="4"/>
  <c r="C531" i="4"/>
  <c r="S531" i="4" s="1" a="1"/>
  <c r="S531" i="4" s="1"/>
  <c r="T531" i="4" s="1"/>
  <c r="U531" i="4" s="1"/>
  <c r="C532" i="4"/>
  <c r="S532" i="4" s="1" a="1"/>
  <c r="S532" i="4" s="1"/>
  <c r="T532" i="4" s="1"/>
  <c r="U532" i="4" s="1"/>
  <c r="C533" i="4"/>
  <c r="S533" i="4" s="1" a="1"/>
  <c r="S533" i="4" s="1"/>
  <c r="T533" i="4" s="1"/>
  <c r="U533" i="4" s="1"/>
  <c r="C534" i="4"/>
  <c r="C535" i="4"/>
  <c r="C536" i="4"/>
  <c r="C537" i="4"/>
  <c r="C538" i="4"/>
  <c r="S538" i="4" s="1" a="1"/>
  <c r="S538" i="4" s="1"/>
  <c r="T538" i="4" s="1"/>
  <c r="U538" i="4" s="1"/>
  <c r="C539" i="4"/>
  <c r="C540" i="4"/>
  <c r="S540" i="4" s="1" a="1"/>
  <c r="S540" i="4" s="1"/>
  <c r="T540" i="4" s="1"/>
  <c r="U540" i="4" s="1"/>
  <c r="C541" i="4"/>
  <c r="S541" i="4" s="1" a="1"/>
  <c r="S541" i="4" s="1"/>
  <c r="T541" i="4" s="1"/>
  <c r="U541" i="4" s="1"/>
  <c r="C542" i="4"/>
  <c r="S542" i="4" s="1" a="1"/>
  <c r="S542" i="4" s="1"/>
  <c r="T542" i="4" s="1"/>
  <c r="U542" i="4" s="1"/>
  <c r="C543" i="4"/>
  <c r="C544" i="4"/>
  <c r="C545" i="4"/>
  <c r="C546" i="4"/>
  <c r="C547" i="4"/>
  <c r="S547" i="4" s="1" a="1"/>
  <c r="S547" i="4" s="1"/>
  <c r="T547" i="4" s="1"/>
  <c r="U547" i="4" s="1"/>
  <c r="C548" i="4"/>
  <c r="S548" i="4" s="1" a="1"/>
  <c r="S548" i="4" s="1"/>
  <c r="T548" i="4" s="1"/>
  <c r="U548" i="4" s="1"/>
  <c r="C549" i="4"/>
  <c r="S549" i="4" s="1" a="1"/>
  <c r="S549" i="4" s="1"/>
  <c r="T549" i="4" s="1"/>
  <c r="U549" i="4" s="1"/>
  <c r="C550" i="4"/>
  <c r="C551" i="4"/>
  <c r="C552" i="4"/>
  <c r="C553" i="4"/>
  <c r="C554" i="4"/>
  <c r="S554" i="4" s="1" a="1"/>
  <c r="S554" i="4" s="1"/>
  <c r="T554" i="4" s="1"/>
  <c r="U554" i="4" s="1"/>
  <c r="C555" i="4"/>
  <c r="C556" i="4"/>
  <c r="S556" i="4" s="1" a="1"/>
  <c r="S556" i="4" s="1"/>
  <c r="T556" i="4" s="1"/>
  <c r="U556" i="4" s="1"/>
  <c r="C557" i="4"/>
  <c r="S557" i="4" s="1" a="1"/>
  <c r="S557" i="4" s="1"/>
  <c r="T557" i="4" s="1"/>
  <c r="U557" i="4" s="1"/>
  <c r="C558" i="4"/>
  <c r="S558" i="4" s="1" a="1"/>
  <c r="S558" i="4" s="1"/>
  <c r="T558" i="4" s="1"/>
  <c r="U558" i="4" s="1"/>
  <c r="C559" i="4"/>
  <c r="C560" i="4"/>
  <c r="C561" i="4"/>
  <c r="C562" i="4"/>
  <c r="C563" i="4"/>
  <c r="S563" i="4" s="1" a="1"/>
  <c r="S563" i="4" s="1"/>
  <c r="T563" i="4" s="1"/>
  <c r="U563" i="4" s="1"/>
  <c r="C564" i="4"/>
  <c r="S564" i="4" s="1" a="1"/>
  <c r="S564" i="4" s="1"/>
  <c r="T564" i="4" s="1"/>
  <c r="U564" i="4" s="1"/>
  <c r="C565" i="4"/>
  <c r="S565" i="4" s="1" a="1"/>
  <c r="S565" i="4" s="1"/>
  <c r="T565" i="4" s="1"/>
  <c r="U565" i="4" s="1"/>
  <c r="C566" i="4"/>
  <c r="C567" i="4"/>
  <c r="C568" i="4"/>
  <c r="C569" i="4"/>
  <c r="C570" i="4"/>
  <c r="S570" i="4" s="1" a="1"/>
  <c r="S570" i="4" s="1"/>
  <c r="T570" i="4" s="1"/>
  <c r="U570" i="4" s="1"/>
  <c r="C571" i="4"/>
  <c r="C572" i="4"/>
  <c r="S572" i="4" s="1" a="1"/>
  <c r="S572" i="4" s="1"/>
  <c r="T572" i="4" s="1"/>
  <c r="U572" i="4" s="1"/>
  <c r="C573" i="4"/>
  <c r="S573" i="4" s="1" a="1"/>
  <c r="S573" i="4" s="1"/>
  <c r="T573" i="4" s="1"/>
  <c r="U573" i="4" s="1"/>
  <c r="C574" i="4"/>
  <c r="S574" i="4" s="1" a="1"/>
  <c r="S574" i="4" s="1"/>
  <c r="T574" i="4" s="1"/>
  <c r="U574" i="4" s="1"/>
  <c r="C575" i="4"/>
  <c r="C576" i="4"/>
  <c r="C577" i="4"/>
  <c r="C578" i="4"/>
  <c r="C579" i="4"/>
  <c r="S579" i="4" s="1" a="1"/>
  <c r="S579" i="4" s="1"/>
  <c r="T579" i="4" s="1"/>
  <c r="U579" i="4" s="1"/>
  <c r="C580" i="4"/>
  <c r="S580" i="4" s="1" a="1"/>
  <c r="S580" i="4" s="1"/>
  <c r="T580" i="4" s="1"/>
  <c r="U580" i="4" s="1"/>
  <c r="C581" i="4"/>
  <c r="S581" i="4" s="1" a="1"/>
  <c r="S581" i="4" s="1"/>
  <c r="T581" i="4" s="1"/>
  <c r="U581" i="4" s="1"/>
  <c r="C582" i="4"/>
  <c r="C583" i="4"/>
  <c r="C584" i="4"/>
  <c r="C585" i="4"/>
  <c r="C586" i="4"/>
  <c r="S586" i="4" s="1" a="1"/>
  <c r="S586" i="4" s="1"/>
  <c r="T586" i="4" s="1"/>
  <c r="U586" i="4" s="1"/>
  <c r="C587" i="4"/>
  <c r="C588" i="4"/>
  <c r="S588" i="4" s="1" a="1"/>
  <c r="S588" i="4" s="1"/>
  <c r="T588" i="4" s="1"/>
  <c r="U588" i="4" s="1"/>
  <c r="C589" i="4"/>
  <c r="S589" i="4" s="1" a="1"/>
  <c r="S589" i="4" s="1"/>
  <c r="T589" i="4" s="1"/>
  <c r="U589" i="4" s="1"/>
  <c r="C590" i="4"/>
  <c r="S590" i="4" s="1" a="1"/>
  <c r="S590" i="4" s="1"/>
  <c r="T590" i="4" s="1"/>
  <c r="U590" i="4" s="1"/>
  <c r="C591" i="4"/>
  <c r="C592" i="4"/>
  <c r="C593" i="4"/>
  <c r="C594" i="4"/>
  <c r="C595" i="4"/>
  <c r="S595" i="4" s="1" a="1"/>
  <c r="S595" i="4" s="1"/>
  <c r="T595" i="4" s="1"/>
  <c r="U595" i="4" s="1"/>
  <c r="C596" i="4"/>
  <c r="S596" i="4" s="1" a="1"/>
  <c r="S596" i="4" s="1"/>
  <c r="T596" i="4" s="1"/>
  <c r="U596" i="4" s="1"/>
  <c r="C597" i="4"/>
  <c r="S597" i="4" s="1" a="1"/>
  <c r="S597" i="4" s="1"/>
  <c r="T597" i="4" s="1"/>
  <c r="U597" i="4" s="1"/>
  <c r="C598" i="4"/>
  <c r="C599" i="4"/>
  <c r="C600" i="4"/>
  <c r="C601" i="4"/>
  <c r="C602" i="4"/>
  <c r="S602" i="4" s="1" a="1"/>
  <c r="S602" i="4" s="1"/>
  <c r="T602" i="4" s="1"/>
  <c r="U602" i="4" s="1"/>
  <c r="C603" i="4"/>
  <c r="C604" i="4"/>
  <c r="S604" i="4" s="1" a="1"/>
  <c r="S604" i="4" s="1"/>
  <c r="T604" i="4" s="1"/>
  <c r="U604" i="4" s="1"/>
  <c r="C605" i="4"/>
  <c r="S605" i="4" s="1" a="1"/>
  <c r="S605" i="4" s="1"/>
  <c r="T605" i="4" s="1"/>
  <c r="U605" i="4" s="1"/>
  <c r="C606" i="4"/>
  <c r="S606" i="4" s="1" a="1"/>
  <c r="S606" i="4" s="1"/>
  <c r="T606" i="4" s="1"/>
  <c r="U606" i="4" s="1"/>
  <c r="C607" i="4"/>
  <c r="C608" i="4"/>
  <c r="C609" i="4"/>
  <c r="C610" i="4"/>
  <c r="C611" i="4"/>
  <c r="S611" i="4" s="1" a="1"/>
  <c r="S611" i="4" s="1"/>
  <c r="T611" i="4" s="1"/>
  <c r="U611" i="4" s="1"/>
  <c r="C612" i="4"/>
  <c r="S612" i="4" s="1" a="1"/>
  <c r="S612" i="4" s="1"/>
  <c r="T612" i="4" s="1"/>
  <c r="U612" i="4" s="1"/>
  <c r="C613" i="4"/>
  <c r="S613" i="4" s="1" a="1"/>
  <c r="S613" i="4" s="1"/>
  <c r="T613" i="4" s="1"/>
  <c r="U613" i="4" s="1"/>
  <c r="C614" i="4"/>
  <c r="C615" i="4"/>
  <c r="C616" i="4"/>
  <c r="C617" i="4"/>
  <c r="C618" i="4"/>
  <c r="S618" i="4" s="1" a="1"/>
  <c r="S618" i="4" s="1"/>
  <c r="T618" i="4" s="1"/>
  <c r="U618" i="4" s="1"/>
  <c r="C619" i="4"/>
  <c r="C620" i="4"/>
  <c r="S620" i="4" s="1" a="1"/>
  <c r="S620" i="4" s="1"/>
  <c r="T620" i="4" s="1"/>
  <c r="U620" i="4" s="1"/>
  <c r="C621" i="4"/>
  <c r="S621" i="4" s="1" a="1"/>
  <c r="S621" i="4" s="1"/>
  <c r="T621" i="4" s="1"/>
  <c r="U621" i="4" s="1"/>
  <c r="C622" i="4"/>
  <c r="S622" i="4" s="1" a="1"/>
  <c r="S622" i="4" s="1"/>
  <c r="T622" i="4" s="1"/>
  <c r="U622" i="4" s="1"/>
  <c r="C623" i="4"/>
  <c r="C624" i="4"/>
  <c r="C625" i="4"/>
  <c r="C626" i="4"/>
  <c r="C627" i="4"/>
  <c r="S627" i="4" s="1" a="1"/>
  <c r="S627" i="4" s="1"/>
  <c r="T627" i="4" s="1"/>
  <c r="U627" i="4" s="1"/>
  <c r="C628" i="4"/>
  <c r="S628" i="4" s="1" a="1"/>
  <c r="S628" i="4" s="1"/>
  <c r="T628" i="4" s="1"/>
  <c r="U628" i="4" s="1"/>
  <c r="C629" i="4"/>
  <c r="S629" i="4" s="1" a="1"/>
  <c r="S629" i="4" s="1"/>
  <c r="T629" i="4" s="1"/>
  <c r="U629" i="4" s="1"/>
  <c r="C630" i="4"/>
  <c r="C631" i="4"/>
  <c r="C632" i="4"/>
  <c r="C633" i="4"/>
  <c r="C634" i="4"/>
  <c r="S634" i="4" s="1" a="1"/>
  <c r="S634" i="4" s="1"/>
  <c r="T634" i="4" s="1"/>
  <c r="U634" i="4" s="1"/>
  <c r="C635" i="4"/>
  <c r="C636" i="4"/>
  <c r="S636" i="4" s="1" a="1"/>
  <c r="S636" i="4" s="1"/>
  <c r="T636" i="4" s="1"/>
  <c r="U636" i="4" s="1"/>
  <c r="C637" i="4"/>
  <c r="S637" i="4" s="1" a="1"/>
  <c r="S637" i="4" s="1"/>
  <c r="T637" i="4" s="1"/>
  <c r="U637" i="4" s="1"/>
  <c r="C638" i="4"/>
  <c r="S638" i="4" s="1" a="1"/>
  <c r="S638" i="4" s="1"/>
  <c r="T638" i="4" s="1"/>
  <c r="U638" i="4" s="1"/>
  <c r="C639" i="4"/>
  <c r="C640" i="4"/>
  <c r="C641" i="4"/>
  <c r="C642" i="4"/>
  <c r="C643" i="4"/>
  <c r="S643" i="4" s="1" a="1"/>
  <c r="S643" i="4" s="1"/>
  <c r="T643" i="4" s="1"/>
  <c r="U643" i="4" s="1"/>
  <c r="C644" i="4"/>
  <c r="S644" i="4" s="1" a="1"/>
  <c r="S644" i="4" s="1"/>
  <c r="T644" i="4" s="1"/>
  <c r="U644" i="4" s="1"/>
  <c r="C645" i="4"/>
  <c r="S645" i="4" s="1" a="1"/>
  <c r="S645" i="4" s="1"/>
  <c r="T645" i="4" s="1"/>
  <c r="U645" i="4" s="1"/>
  <c r="C646" i="4"/>
  <c r="C647" i="4"/>
  <c r="C648" i="4"/>
  <c r="C649" i="4"/>
  <c r="C650" i="4"/>
  <c r="S650" i="4" s="1" a="1"/>
  <c r="S650" i="4" s="1"/>
  <c r="T650" i="4" s="1"/>
  <c r="U650" i="4" s="1"/>
  <c r="C651" i="4"/>
  <c r="C652" i="4"/>
  <c r="S652" i="4" s="1" a="1"/>
  <c r="S652" i="4" s="1"/>
  <c r="T652" i="4" s="1"/>
  <c r="U652" i="4" s="1"/>
  <c r="C653" i="4"/>
  <c r="S653" i="4" s="1" a="1"/>
  <c r="S653" i="4" s="1"/>
  <c r="T653" i="4" s="1"/>
  <c r="U653" i="4" s="1"/>
  <c r="C654" i="4"/>
  <c r="S654" i="4" s="1" a="1"/>
  <c r="S654" i="4" s="1"/>
  <c r="T654" i="4" s="1"/>
  <c r="U654" i="4" s="1"/>
  <c r="C655" i="4"/>
  <c r="S655" i="4" s="1" a="1"/>
  <c r="S655" i="4" s="1"/>
  <c r="T655" i="4" s="1"/>
  <c r="U655" i="4" s="1"/>
  <c r="C656" i="4"/>
  <c r="C657" i="4"/>
  <c r="C658" i="4"/>
  <c r="C659" i="4"/>
  <c r="S659" i="4" s="1" a="1"/>
  <c r="S659" i="4" s="1"/>
  <c r="T659" i="4" s="1"/>
  <c r="U659" i="4" s="1"/>
  <c r="C660" i="4"/>
  <c r="S660" i="4" s="1" a="1"/>
  <c r="S660" i="4" s="1"/>
  <c r="T660" i="4" s="1"/>
  <c r="U660" i="4" s="1"/>
  <c r="C661" i="4"/>
  <c r="S661" i="4" s="1" a="1"/>
  <c r="S661" i="4" s="1"/>
  <c r="T661" i="4" s="1"/>
  <c r="U661" i="4" s="1"/>
  <c r="C662" i="4"/>
  <c r="C663" i="4"/>
  <c r="C664" i="4"/>
  <c r="C665" i="4"/>
  <c r="C666" i="4"/>
  <c r="S666" i="4" s="1" a="1"/>
  <c r="S666" i="4" s="1"/>
  <c r="T666" i="4" s="1"/>
  <c r="U666" i="4" s="1"/>
  <c r="C667" i="4"/>
  <c r="C668" i="4"/>
  <c r="S668" i="4" s="1" a="1"/>
  <c r="S668" i="4" s="1"/>
  <c r="T668" i="4" s="1"/>
  <c r="U668" i="4" s="1"/>
  <c r="C669" i="4"/>
  <c r="S669" i="4" s="1" a="1"/>
  <c r="S669" i="4" s="1"/>
  <c r="T669" i="4" s="1"/>
  <c r="U669" i="4" s="1"/>
  <c r="C670" i="4"/>
  <c r="S670" i="4" s="1" a="1"/>
  <c r="S670" i="4" s="1"/>
  <c r="T670" i="4" s="1"/>
  <c r="U670" i="4" s="1"/>
  <c r="C671" i="4"/>
  <c r="S671" i="4" s="1" a="1"/>
  <c r="S671" i="4" s="1"/>
  <c r="T671" i="4" s="1"/>
  <c r="U671" i="4" s="1"/>
  <c r="C672" i="4"/>
  <c r="C673" i="4"/>
  <c r="C674" i="4"/>
  <c r="C2" i="4"/>
  <c r="S2" i="4" s="1" a="1"/>
  <c r="S2" i="4" s="1"/>
  <c r="T2" i="4" s="1"/>
  <c r="U2" i="4" s="1"/>
  <c r="S656" i="4" l="1" a="1"/>
  <c r="S656" i="4" s="1"/>
  <c r="T656" i="4" s="1"/>
  <c r="U656" i="4" s="1"/>
  <c r="S624" i="4" a="1"/>
  <c r="S624" i="4" s="1"/>
  <c r="T624" i="4" s="1"/>
  <c r="U624" i="4" s="1"/>
  <c r="S608" i="4" a="1"/>
  <c r="S608" i="4" s="1"/>
  <c r="T608" i="4" s="1"/>
  <c r="U608" i="4" s="1"/>
  <c r="S576" i="4" a="1"/>
  <c r="S576" i="4" s="1"/>
  <c r="T576" i="4" s="1"/>
  <c r="U576" i="4" s="1"/>
  <c r="S560" i="4" a="1"/>
  <c r="S560" i="4" s="1"/>
  <c r="T560" i="4" s="1"/>
  <c r="U560" i="4" s="1"/>
  <c r="S544" i="4" a="1"/>
  <c r="S544" i="4" s="1"/>
  <c r="T544" i="4" s="1"/>
  <c r="U544" i="4" s="1"/>
  <c r="S512" i="4" a="1"/>
  <c r="S512" i="4" s="1"/>
  <c r="T512" i="4" s="1"/>
  <c r="U512" i="4" s="1"/>
  <c r="S496" i="4" a="1"/>
  <c r="S496" i="4" s="1"/>
  <c r="T496" i="4" s="1"/>
  <c r="U496" i="4" s="1"/>
  <c r="S480" i="4" a="1"/>
  <c r="S480" i="4" s="1"/>
  <c r="T480" i="4" s="1"/>
  <c r="U480" i="4" s="1"/>
  <c r="S464" i="4" a="1"/>
  <c r="S464" i="4" s="1"/>
  <c r="T464" i="4" s="1"/>
  <c r="U464" i="4" s="1"/>
  <c r="S448" i="4" a="1"/>
  <c r="S448" i="4" s="1"/>
  <c r="T448" i="4" s="1"/>
  <c r="U448" i="4" s="1"/>
  <c r="S432" i="4" a="1"/>
  <c r="S432" i="4" s="1"/>
  <c r="T432" i="4" s="1"/>
  <c r="U432" i="4" s="1"/>
  <c r="S416" i="4" a="1"/>
  <c r="S416" i="4" s="1"/>
  <c r="T416" i="4" s="1"/>
  <c r="U416" i="4" s="1"/>
  <c r="S400" i="4" a="1"/>
  <c r="S400" i="4" s="1"/>
  <c r="T400" i="4" s="1"/>
  <c r="U400" i="4" s="1"/>
  <c r="S384" i="4" a="1"/>
  <c r="S384" i="4" s="1"/>
  <c r="T384" i="4" s="1"/>
  <c r="U384" i="4" s="1"/>
  <c r="S672" i="4" a="1"/>
  <c r="S672" i="4" s="1"/>
  <c r="T672" i="4" s="1"/>
  <c r="U672" i="4" s="1"/>
  <c r="S640" i="4" a="1"/>
  <c r="S640" i="4" s="1"/>
  <c r="T640" i="4" s="1"/>
  <c r="U640" i="4" s="1"/>
  <c r="S592" i="4" a="1"/>
  <c r="S592" i="4" s="1"/>
  <c r="T592" i="4" s="1"/>
  <c r="U592" i="4" s="1"/>
  <c r="S528" i="4" a="1"/>
  <c r="S528" i="4" s="1"/>
  <c r="T528" i="4" s="1"/>
  <c r="U528" i="4" s="1"/>
  <c r="S639" i="4" a="1"/>
  <c r="S639" i="4" s="1"/>
  <c r="T639" i="4" s="1"/>
  <c r="U639" i="4" s="1"/>
  <c r="S607" i="4" a="1"/>
  <c r="S607" i="4" s="1"/>
  <c r="T607" i="4" s="1"/>
  <c r="U607" i="4" s="1"/>
  <c r="S559" i="4" a="1"/>
  <c r="S559" i="4" s="1"/>
  <c r="T559" i="4" s="1"/>
  <c r="U559" i="4" s="1"/>
  <c r="S511" i="4" a="1"/>
  <c r="S511" i="4" s="1"/>
  <c r="T511" i="4" s="1"/>
  <c r="U511" i="4" s="1"/>
  <c r="S463" i="4" a="1"/>
  <c r="S463" i="4" s="1"/>
  <c r="T463" i="4" s="1"/>
  <c r="U463" i="4" s="1"/>
  <c r="S415" i="4" a="1"/>
  <c r="S415" i="4" s="1"/>
  <c r="T415" i="4" s="1"/>
  <c r="U415" i="4" s="1"/>
  <c r="S351" i="4" a="1"/>
  <c r="S351" i="4" s="1"/>
  <c r="T351" i="4" s="1"/>
  <c r="U351" i="4" s="1"/>
  <c r="S287" i="4" a="1"/>
  <c r="S287" i="4" s="1"/>
  <c r="T287" i="4" s="1"/>
  <c r="U287" i="4" s="1"/>
  <c r="S207" i="4" a="1"/>
  <c r="S207" i="4" s="1"/>
  <c r="T207" i="4" s="1"/>
  <c r="U207" i="4" s="1"/>
  <c r="S175" i="4" a="1"/>
  <c r="S175" i="4" s="1"/>
  <c r="T175" i="4" s="1"/>
  <c r="U175" i="4" s="1"/>
  <c r="S127" i="4" a="1"/>
  <c r="S127" i="4" s="1"/>
  <c r="T127" i="4" s="1"/>
  <c r="U127" i="4" s="1"/>
  <c r="S667" i="4" a="1"/>
  <c r="S667" i="4" s="1"/>
  <c r="T667" i="4" s="1"/>
  <c r="U667" i="4" s="1"/>
  <c r="S651" i="4" a="1"/>
  <c r="S651" i="4" s="1"/>
  <c r="T651" i="4" s="1"/>
  <c r="U651" i="4" s="1"/>
  <c r="S635" i="4" a="1"/>
  <c r="S635" i="4" s="1"/>
  <c r="T635" i="4" s="1"/>
  <c r="U635" i="4" s="1"/>
  <c r="S619" i="4" a="1"/>
  <c r="S619" i="4" s="1"/>
  <c r="T619" i="4" s="1"/>
  <c r="U619" i="4" s="1"/>
  <c r="S603" i="4" a="1"/>
  <c r="S603" i="4" s="1"/>
  <c r="T603" i="4" s="1"/>
  <c r="U603" i="4" s="1"/>
  <c r="S587" i="4" a="1"/>
  <c r="S587" i="4" s="1"/>
  <c r="T587" i="4" s="1"/>
  <c r="U587" i="4" s="1"/>
  <c r="S571" i="4" a="1"/>
  <c r="S571" i="4" s="1"/>
  <c r="T571" i="4" s="1"/>
  <c r="U571" i="4" s="1"/>
  <c r="S555" i="4" a="1"/>
  <c r="S555" i="4" s="1"/>
  <c r="T555" i="4" s="1"/>
  <c r="U555" i="4" s="1"/>
  <c r="S539" i="4" a="1"/>
  <c r="S539" i="4" s="1"/>
  <c r="T539" i="4" s="1"/>
  <c r="U539" i="4" s="1"/>
  <c r="S523" i="4" a="1"/>
  <c r="S523" i="4" s="1"/>
  <c r="T523" i="4" s="1"/>
  <c r="U523" i="4" s="1"/>
  <c r="S507" i="4" a="1"/>
  <c r="S507" i="4" s="1"/>
  <c r="T507" i="4" s="1"/>
  <c r="U507" i="4" s="1"/>
  <c r="S491" i="4" a="1"/>
  <c r="S491" i="4" s="1"/>
  <c r="T491" i="4" s="1"/>
  <c r="U491" i="4" s="1"/>
  <c r="S475" i="4" a="1"/>
  <c r="S475" i="4" s="1"/>
  <c r="T475" i="4" s="1"/>
  <c r="U475" i="4" s="1"/>
  <c r="S459" i="4" a="1"/>
  <c r="S459" i="4" s="1"/>
  <c r="T459" i="4" s="1"/>
  <c r="U459" i="4" s="1"/>
  <c r="S443" i="4" a="1"/>
  <c r="S443" i="4" s="1"/>
  <c r="T443" i="4" s="1"/>
  <c r="U443" i="4" s="1"/>
  <c r="S427" i="4" a="1"/>
  <c r="S427" i="4" s="1"/>
  <c r="T427" i="4" s="1"/>
  <c r="U427" i="4" s="1"/>
  <c r="S411" i="4" a="1"/>
  <c r="S411" i="4" s="1"/>
  <c r="T411" i="4" s="1"/>
  <c r="U411" i="4" s="1"/>
  <c r="S395" i="4" a="1"/>
  <c r="S395" i="4" s="1"/>
  <c r="T395" i="4" s="1"/>
  <c r="U395" i="4" s="1"/>
  <c r="S379" i="4" a="1"/>
  <c r="S379" i="4" s="1"/>
  <c r="T379" i="4" s="1"/>
  <c r="U379" i="4" s="1"/>
  <c r="S363" i="4" a="1"/>
  <c r="S363" i="4" s="1"/>
  <c r="T363" i="4" s="1"/>
  <c r="U363" i="4" s="1"/>
  <c r="S347" i="4" a="1"/>
  <c r="S347" i="4" s="1"/>
  <c r="T347" i="4" s="1"/>
  <c r="U347" i="4" s="1"/>
  <c r="S331" i="4" a="1"/>
  <c r="S331" i="4" s="1"/>
  <c r="T331" i="4" s="1"/>
  <c r="U331" i="4" s="1"/>
  <c r="S315" i="4" a="1"/>
  <c r="S315" i="4" s="1"/>
  <c r="T315" i="4" s="1"/>
  <c r="U315" i="4" s="1"/>
  <c r="S299" i="4" a="1"/>
  <c r="S299" i="4" s="1"/>
  <c r="T299" i="4" s="1"/>
  <c r="U299" i="4" s="1"/>
  <c r="S283" i="4" a="1"/>
  <c r="S283" i="4" s="1"/>
  <c r="T283" i="4" s="1"/>
  <c r="U283" i="4" s="1"/>
  <c r="S267" i="4" a="1"/>
  <c r="S267" i="4" s="1"/>
  <c r="T267" i="4" s="1"/>
  <c r="U267" i="4" s="1"/>
  <c r="S251" i="4" a="1"/>
  <c r="S251" i="4" s="1"/>
  <c r="T251" i="4" s="1"/>
  <c r="U251" i="4" s="1"/>
  <c r="S235" i="4" a="1"/>
  <c r="S235" i="4" s="1"/>
  <c r="T235" i="4" s="1"/>
  <c r="U235" i="4" s="1"/>
  <c r="S219" i="4" a="1"/>
  <c r="S219" i="4" s="1"/>
  <c r="T219" i="4" s="1"/>
  <c r="U219" i="4" s="1"/>
  <c r="S203" i="4" a="1"/>
  <c r="S203" i="4" s="1"/>
  <c r="T203" i="4" s="1"/>
  <c r="U203" i="4" s="1"/>
  <c r="S187" i="4" a="1"/>
  <c r="S187" i="4" s="1"/>
  <c r="T187" i="4" s="1"/>
  <c r="U187" i="4" s="1"/>
  <c r="S171" i="4" a="1"/>
  <c r="S171" i="4" s="1"/>
  <c r="T171" i="4" s="1"/>
  <c r="U171" i="4" s="1"/>
  <c r="S155" i="4" a="1"/>
  <c r="S155" i="4" s="1"/>
  <c r="T155" i="4" s="1"/>
  <c r="U155" i="4" s="1"/>
  <c r="S139" i="4" a="1"/>
  <c r="S139" i="4" s="1"/>
  <c r="T139" i="4" s="1"/>
  <c r="U139" i="4" s="1"/>
  <c r="S123" i="4" a="1"/>
  <c r="S123" i="4" s="1"/>
  <c r="T123" i="4" s="1"/>
  <c r="U123" i="4" s="1"/>
  <c r="S107" i="4" a="1"/>
  <c r="S107" i="4" s="1"/>
  <c r="T107" i="4" s="1"/>
  <c r="U107" i="4" s="1"/>
  <c r="S91" i="4" a="1"/>
  <c r="S91" i="4" s="1"/>
  <c r="T91" i="4" s="1"/>
  <c r="U91" i="4" s="1"/>
  <c r="S75" i="4" a="1"/>
  <c r="S75" i="4" s="1"/>
  <c r="T75" i="4" s="1"/>
  <c r="U75" i="4" s="1"/>
  <c r="S59" i="4" a="1"/>
  <c r="S59" i="4" s="1"/>
  <c r="T59" i="4" s="1"/>
  <c r="U59" i="4" s="1"/>
  <c r="S43" i="4" a="1"/>
  <c r="S43" i="4" s="1"/>
  <c r="T43" i="4" s="1"/>
  <c r="U43" i="4" s="1"/>
  <c r="S27" i="4" a="1"/>
  <c r="S27" i="4" s="1"/>
  <c r="T27" i="4" s="1"/>
  <c r="U27" i="4" s="1"/>
  <c r="S11" i="4" a="1"/>
  <c r="S11" i="4" s="1"/>
  <c r="T11" i="4" s="1"/>
  <c r="U11" i="4" s="1"/>
  <c r="S368" i="4" a="1"/>
  <c r="S368" i="4" s="1"/>
  <c r="T368" i="4" s="1"/>
  <c r="U368" i="4" s="1"/>
  <c r="S336" i="4" a="1"/>
  <c r="S336" i="4" s="1"/>
  <c r="T336" i="4" s="1"/>
  <c r="U336" i="4" s="1"/>
  <c r="S304" i="4" a="1"/>
  <c r="S304" i="4" s="1"/>
  <c r="T304" i="4" s="1"/>
  <c r="U304" i="4" s="1"/>
  <c r="S272" i="4" a="1"/>
  <c r="S272" i="4" s="1"/>
  <c r="T272" i="4" s="1"/>
  <c r="U272" i="4" s="1"/>
  <c r="S240" i="4" a="1"/>
  <c r="S240" i="4" s="1"/>
  <c r="T240" i="4" s="1"/>
  <c r="U240" i="4" s="1"/>
  <c r="S208" i="4" a="1"/>
  <c r="S208" i="4" s="1"/>
  <c r="T208" i="4" s="1"/>
  <c r="U208" i="4" s="1"/>
  <c r="S176" i="4" a="1"/>
  <c r="S176" i="4" s="1"/>
  <c r="T176" i="4" s="1"/>
  <c r="U176" i="4" s="1"/>
  <c r="S144" i="4" a="1"/>
  <c r="S144" i="4" s="1"/>
  <c r="T144" i="4" s="1"/>
  <c r="U144" i="4" s="1"/>
  <c r="S112" i="4" a="1"/>
  <c r="S112" i="4" s="1"/>
  <c r="T112" i="4" s="1"/>
  <c r="U112" i="4" s="1"/>
  <c r="S80" i="4" a="1"/>
  <c r="S80" i="4" s="1"/>
  <c r="T80" i="4" s="1"/>
  <c r="U80" i="4" s="1"/>
  <c r="S32" i="4" a="1"/>
  <c r="S32" i="4" s="1"/>
  <c r="T32" i="4" s="1"/>
  <c r="U32" i="4" s="1"/>
  <c r="S591" i="4" a="1"/>
  <c r="S591" i="4" s="1"/>
  <c r="T591" i="4" s="1"/>
  <c r="U591" i="4" s="1"/>
  <c r="S543" i="4" a="1"/>
  <c r="S543" i="4" s="1"/>
  <c r="T543" i="4" s="1"/>
  <c r="U543" i="4" s="1"/>
  <c r="S495" i="4" a="1"/>
  <c r="S495" i="4" s="1"/>
  <c r="T495" i="4" s="1"/>
  <c r="U495" i="4" s="1"/>
  <c r="S447" i="4" a="1"/>
  <c r="S447" i="4" s="1"/>
  <c r="T447" i="4" s="1"/>
  <c r="U447" i="4" s="1"/>
  <c r="S383" i="4" a="1"/>
  <c r="S383" i="4" s="1"/>
  <c r="T383" i="4" s="1"/>
  <c r="U383" i="4" s="1"/>
  <c r="S319" i="4" a="1"/>
  <c r="S319" i="4" s="1"/>
  <c r="T319" i="4" s="1"/>
  <c r="U319" i="4" s="1"/>
  <c r="S271" i="4" a="1"/>
  <c r="S271" i="4" s="1"/>
  <c r="T271" i="4" s="1"/>
  <c r="U271" i="4" s="1"/>
  <c r="S191" i="4" a="1"/>
  <c r="S191" i="4" s="1"/>
  <c r="T191" i="4" s="1"/>
  <c r="U191" i="4" s="1"/>
  <c r="S143" i="4" a="1"/>
  <c r="S143" i="4" s="1"/>
  <c r="T143" i="4" s="1"/>
  <c r="U143" i="4" s="1"/>
  <c r="S63" i="4" a="1"/>
  <c r="S63" i="4" s="1"/>
  <c r="T63" i="4" s="1"/>
  <c r="U63" i="4" s="1"/>
  <c r="S31" i="4" a="1"/>
  <c r="S31" i="4" s="1"/>
  <c r="T31" i="4" s="1"/>
  <c r="U31" i="4" s="1"/>
  <c r="S352" i="4" a="1"/>
  <c r="S352" i="4" s="1"/>
  <c r="T352" i="4" s="1"/>
  <c r="U352" i="4" s="1"/>
  <c r="S320" i="4" a="1"/>
  <c r="S320" i="4" s="1"/>
  <c r="T320" i="4" s="1"/>
  <c r="U320" i="4" s="1"/>
  <c r="S288" i="4" a="1"/>
  <c r="S288" i="4" s="1"/>
  <c r="T288" i="4" s="1"/>
  <c r="U288" i="4" s="1"/>
  <c r="S256" i="4" a="1"/>
  <c r="S256" i="4" s="1"/>
  <c r="T256" i="4" s="1"/>
  <c r="U256" i="4" s="1"/>
  <c r="S224" i="4" a="1"/>
  <c r="S224" i="4" s="1"/>
  <c r="T224" i="4" s="1"/>
  <c r="U224" i="4" s="1"/>
  <c r="S192" i="4" a="1"/>
  <c r="S192" i="4" s="1"/>
  <c r="T192" i="4" s="1"/>
  <c r="U192" i="4" s="1"/>
  <c r="S160" i="4" a="1"/>
  <c r="S160" i="4" s="1"/>
  <c r="T160" i="4" s="1"/>
  <c r="U160" i="4" s="1"/>
  <c r="S128" i="4" a="1"/>
  <c r="S128" i="4" s="1"/>
  <c r="T128" i="4" s="1"/>
  <c r="U128" i="4" s="1"/>
  <c r="S96" i="4" a="1"/>
  <c r="S96" i="4" s="1"/>
  <c r="T96" i="4" s="1"/>
  <c r="U96" i="4" s="1"/>
  <c r="S64" i="4" a="1"/>
  <c r="S64" i="4" s="1"/>
  <c r="T64" i="4" s="1"/>
  <c r="U64" i="4" s="1"/>
  <c r="S48" i="4" a="1"/>
  <c r="S48" i="4" s="1"/>
  <c r="T48" i="4" s="1"/>
  <c r="U48" i="4" s="1"/>
  <c r="S16" i="4" a="1"/>
  <c r="S16" i="4" s="1"/>
  <c r="T16" i="4" s="1"/>
  <c r="U16" i="4" s="1"/>
  <c r="S623" i="4" a="1"/>
  <c r="S623" i="4" s="1"/>
  <c r="T623" i="4" s="1"/>
  <c r="U623" i="4" s="1"/>
  <c r="S575" i="4" a="1"/>
  <c r="S575" i="4" s="1"/>
  <c r="T575" i="4" s="1"/>
  <c r="U575" i="4" s="1"/>
  <c r="S527" i="4" a="1"/>
  <c r="S527" i="4" s="1"/>
  <c r="T527" i="4" s="1"/>
  <c r="U527" i="4" s="1"/>
  <c r="S479" i="4" a="1"/>
  <c r="S479" i="4" s="1"/>
  <c r="T479" i="4" s="1"/>
  <c r="U479" i="4" s="1"/>
  <c r="S431" i="4" a="1"/>
  <c r="S431" i="4" s="1"/>
  <c r="T431" i="4" s="1"/>
  <c r="U431" i="4" s="1"/>
  <c r="S399" i="4" a="1"/>
  <c r="S399" i="4" s="1"/>
  <c r="T399" i="4" s="1"/>
  <c r="U399" i="4" s="1"/>
  <c r="S303" i="4" a="1"/>
  <c r="S303" i="4" s="1"/>
  <c r="T303" i="4" s="1"/>
  <c r="U303" i="4" s="1"/>
  <c r="S255" i="4" a="1"/>
  <c r="S255" i="4" s="1"/>
  <c r="T255" i="4" s="1"/>
  <c r="U255" i="4" s="1"/>
  <c r="S159" i="4" a="1"/>
  <c r="S159" i="4" s="1"/>
  <c r="T159" i="4" s="1"/>
  <c r="U159" i="4" s="1"/>
  <c r="S95" i="4" a="1"/>
  <c r="S95" i="4" s="1"/>
  <c r="T95" i="4" s="1"/>
  <c r="U95" i="4" s="1"/>
  <c r="S47" i="4" a="1"/>
  <c r="S47" i="4" s="1"/>
  <c r="T47" i="4" s="1"/>
  <c r="U47" i="4" s="1"/>
  <c r="S15" i="4" a="1"/>
  <c r="S15" i="4" s="1"/>
  <c r="T15" i="4" s="1"/>
  <c r="U15" i="4" s="1"/>
  <c r="S26" i="4" a="1"/>
  <c r="S26" i="4" s="1"/>
  <c r="T26" i="4" s="1"/>
  <c r="U26" i="4" s="1"/>
  <c r="S10" i="4" a="1"/>
  <c r="S10" i="4" s="1"/>
  <c r="T10" i="4" s="1"/>
  <c r="U10" i="4" s="1"/>
  <c r="S663" i="4" a="1"/>
  <c r="S663" i="4" s="1"/>
  <c r="T663" i="4" s="1"/>
  <c r="U663" i="4" s="1"/>
  <c r="S647" i="4" a="1"/>
  <c r="S647" i="4" s="1"/>
  <c r="T647" i="4" s="1"/>
  <c r="U647" i="4" s="1"/>
  <c r="S631" i="4" a="1"/>
  <c r="S631" i="4" s="1"/>
  <c r="T631" i="4" s="1"/>
  <c r="U631" i="4" s="1"/>
  <c r="S615" i="4" a="1"/>
  <c r="S615" i="4" s="1"/>
  <c r="T615" i="4" s="1"/>
  <c r="U615" i="4" s="1"/>
  <c r="S599" i="4" a="1"/>
  <c r="S599" i="4" s="1"/>
  <c r="T599" i="4" s="1"/>
  <c r="U599" i="4" s="1"/>
  <c r="S583" i="4" a="1"/>
  <c r="S583" i="4" s="1"/>
  <c r="T583" i="4" s="1"/>
  <c r="U583" i="4" s="1"/>
  <c r="S567" i="4" a="1"/>
  <c r="S567" i="4" s="1"/>
  <c r="T567" i="4" s="1"/>
  <c r="U567" i="4" s="1"/>
  <c r="S551" i="4" a="1"/>
  <c r="S551" i="4" s="1"/>
  <c r="T551" i="4" s="1"/>
  <c r="U551" i="4" s="1"/>
  <c r="S535" i="4" a="1"/>
  <c r="S535" i="4" s="1"/>
  <c r="T535" i="4" s="1"/>
  <c r="U535" i="4" s="1"/>
  <c r="S519" i="4" a="1"/>
  <c r="S519" i="4" s="1"/>
  <c r="T519" i="4" s="1"/>
  <c r="U519" i="4" s="1"/>
  <c r="S503" i="4" a="1"/>
  <c r="S503" i="4" s="1"/>
  <c r="T503" i="4" s="1"/>
  <c r="U503" i="4" s="1"/>
  <c r="S487" i="4" a="1"/>
  <c r="S487" i="4" s="1"/>
  <c r="T487" i="4" s="1"/>
  <c r="U487" i="4" s="1"/>
  <c r="S471" i="4" a="1"/>
  <c r="S471" i="4" s="1"/>
  <c r="T471" i="4" s="1"/>
  <c r="U471" i="4" s="1"/>
  <c r="S455" i="4" a="1"/>
  <c r="S455" i="4" s="1"/>
  <c r="T455" i="4" s="1"/>
  <c r="U455" i="4" s="1"/>
  <c r="S439" i="4" a="1"/>
  <c r="S439" i="4" s="1"/>
  <c r="T439" i="4" s="1"/>
  <c r="U439" i="4" s="1"/>
  <c r="S423" i="4" a="1"/>
  <c r="S423" i="4" s="1"/>
  <c r="T423" i="4" s="1"/>
  <c r="U423" i="4" s="1"/>
  <c r="S407" i="4" a="1"/>
  <c r="S407" i="4" s="1"/>
  <c r="T407" i="4" s="1"/>
  <c r="U407" i="4" s="1"/>
  <c r="S391" i="4" a="1"/>
  <c r="S391" i="4" s="1"/>
  <c r="T391" i="4" s="1"/>
  <c r="U391" i="4" s="1"/>
  <c r="S375" i="4" a="1"/>
  <c r="S375" i="4" s="1"/>
  <c r="T375" i="4" s="1"/>
  <c r="U375" i="4" s="1"/>
  <c r="S359" i="4" a="1"/>
  <c r="S359" i="4" s="1"/>
  <c r="T359" i="4" s="1"/>
  <c r="U359" i="4" s="1"/>
  <c r="S343" i="4" a="1"/>
  <c r="S343" i="4" s="1"/>
  <c r="T343" i="4" s="1"/>
  <c r="U343" i="4" s="1"/>
  <c r="S327" i="4" a="1"/>
  <c r="S327" i="4" s="1"/>
  <c r="T327" i="4" s="1"/>
  <c r="U327" i="4" s="1"/>
  <c r="S311" i="4" a="1"/>
  <c r="S311" i="4" s="1"/>
  <c r="T311" i="4" s="1"/>
  <c r="U311" i="4" s="1"/>
  <c r="S295" i="4" a="1"/>
  <c r="S295" i="4" s="1"/>
  <c r="T295" i="4" s="1"/>
  <c r="U295" i="4" s="1"/>
  <c r="S279" i="4" a="1"/>
  <c r="S279" i="4" s="1"/>
  <c r="T279" i="4" s="1"/>
  <c r="U279" i="4" s="1"/>
  <c r="S263" i="4" a="1"/>
  <c r="S263" i="4" s="1"/>
  <c r="T263" i="4" s="1"/>
  <c r="U263" i="4" s="1"/>
  <c r="S247" i="4" a="1"/>
  <c r="S247" i="4" s="1"/>
  <c r="T247" i="4" s="1"/>
  <c r="U247" i="4" s="1"/>
  <c r="S231" i="4" a="1"/>
  <c r="S231" i="4" s="1"/>
  <c r="T231" i="4" s="1"/>
  <c r="U231" i="4" s="1"/>
  <c r="S215" i="4" a="1"/>
  <c r="S215" i="4" s="1"/>
  <c r="T215" i="4" s="1"/>
  <c r="U215" i="4" s="1"/>
  <c r="S199" i="4" a="1"/>
  <c r="S199" i="4" s="1"/>
  <c r="T199" i="4" s="1"/>
  <c r="U199" i="4" s="1"/>
  <c r="S183" i="4" a="1"/>
  <c r="S183" i="4" s="1"/>
  <c r="T183" i="4" s="1"/>
  <c r="U183" i="4" s="1"/>
  <c r="S167" i="4" a="1"/>
  <c r="S167" i="4" s="1"/>
  <c r="T167" i="4" s="1"/>
  <c r="U167" i="4" s="1"/>
  <c r="S151" i="4" a="1"/>
  <c r="S151" i="4" s="1"/>
  <c r="T151" i="4" s="1"/>
  <c r="U151" i="4" s="1"/>
  <c r="S135" i="4" a="1"/>
  <c r="S135" i="4" s="1"/>
  <c r="T135" i="4" s="1"/>
  <c r="U135" i="4" s="1"/>
  <c r="S119" i="4" a="1"/>
  <c r="S119" i="4" s="1"/>
  <c r="T119" i="4" s="1"/>
  <c r="U119" i="4" s="1"/>
  <c r="S103" i="4" a="1"/>
  <c r="S103" i="4" s="1"/>
  <c r="T103" i="4" s="1"/>
  <c r="U103" i="4" s="1"/>
  <c r="S87" i="4" a="1"/>
  <c r="S87" i="4" s="1"/>
  <c r="T87" i="4" s="1"/>
  <c r="U87" i="4" s="1"/>
  <c r="S71" i="4" a="1"/>
  <c r="S71" i="4" s="1"/>
  <c r="T71" i="4" s="1"/>
  <c r="U71" i="4" s="1"/>
  <c r="S55" i="4" a="1"/>
  <c r="S55" i="4" s="1"/>
  <c r="T55" i="4" s="1"/>
  <c r="U55" i="4" s="1"/>
  <c r="S39" i="4" a="1"/>
  <c r="S39" i="4" s="1"/>
  <c r="T39" i="4" s="1"/>
  <c r="U39" i="4" s="1"/>
  <c r="AC5" i="4" s="1"/>
  <c r="S23" i="4" a="1"/>
  <c r="S23" i="4" s="1"/>
  <c r="T23" i="4" s="1"/>
  <c r="U23" i="4" s="1"/>
  <c r="S7" i="4" a="1"/>
  <c r="S7" i="4" s="1"/>
  <c r="T7" i="4" s="1"/>
  <c r="U7" i="4" s="1"/>
  <c r="S662" i="4" a="1"/>
  <c r="S662" i="4" s="1"/>
  <c r="T662" i="4" s="1"/>
  <c r="U662" i="4" s="1"/>
  <c r="S646" i="4" a="1"/>
  <c r="S646" i="4" s="1"/>
  <c r="T646" i="4" s="1"/>
  <c r="U646" i="4" s="1"/>
  <c r="S630" i="4" a="1"/>
  <c r="S630" i="4" s="1"/>
  <c r="T630" i="4" s="1"/>
  <c r="U630" i="4" s="1"/>
  <c r="S614" i="4" a="1"/>
  <c r="S614" i="4" s="1"/>
  <c r="T614" i="4" s="1"/>
  <c r="U614" i="4" s="1"/>
  <c r="S598" i="4" a="1"/>
  <c r="S598" i="4" s="1"/>
  <c r="T598" i="4" s="1"/>
  <c r="U598" i="4" s="1"/>
  <c r="S582" i="4" a="1"/>
  <c r="S582" i="4" s="1"/>
  <c r="T582" i="4" s="1"/>
  <c r="U582" i="4" s="1"/>
  <c r="S566" i="4" a="1"/>
  <c r="S566" i="4" s="1"/>
  <c r="T566" i="4" s="1"/>
  <c r="U566" i="4" s="1"/>
  <c r="S550" i="4" a="1"/>
  <c r="S550" i="4" s="1"/>
  <c r="T550" i="4" s="1"/>
  <c r="U550" i="4" s="1"/>
  <c r="S534" i="4" a="1"/>
  <c r="S534" i="4" s="1"/>
  <c r="T534" i="4" s="1"/>
  <c r="U534" i="4" s="1"/>
  <c r="S518" i="4" a="1"/>
  <c r="S518" i="4" s="1"/>
  <c r="T518" i="4" s="1"/>
  <c r="U518" i="4" s="1"/>
  <c r="S502" i="4" a="1"/>
  <c r="S502" i="4" s="1"/>
  <c r="T502" i="4" s="1"/>
  <c r="U502" i="4" s="1"/>
  <c r="S486" i="4" a="1"/>
  <c r="S486" i="4" s="1"/>
  <c r="T486" i="4" s="1"/>
  <c r="U486" i="4" s="1"/>
  <c r="S470" i="4" a="1"/>
  <c r="S470" i="4" s="1"/>
  <c r="T470" i="4" s="1"/>
  <c r="U470" i="4" s="1"/>
  <c r="S454" i="4" a="1"/>
  <c r="S454" i="4" s="1"/>
  <c r="T454" i="4" s="1"/>
  <c r="U454" i="4" s="1"/>
  <c r="S438" i="4" a="1"/>
  <c r="S438" i="4" s="1"/>
  <c r="T438" i="4" s="1"/>
  <c r="U438" i="4" s="1"/>
  <c r="S422" i="4" a="1"/>
  <c r="S422" i="4" s="1"/>
  <c r="T422" i="4" s="1"/>
  <c r="U422" i="4" s="1"/>
  <c r="S406" i="4" a="1"/>
  <c r="S406" i="4" s="1"/>
  <c r="T406" i="4" s="1"/>
  <c r="U406" i="4" s="1"/>
  <c r="S390" i="4" a="1"/>
  <c r="S390" i="4" s="1"/>
  <c r="T390" i="4" s="1"/>
  <c r="U390" i="4" s="1"/>
  <c r="S374" i="4" a="1"/>
  <c r="S374" i="4" s="1"/>
  <c r="T374" i="4" s="1"/>
  <c r="U374" i="4" s="1"/>
  <c r="S358" i="4" a="1"/>
  <c r="S358" i="4" s="1"/>
  <c r="T358" i="4" s="1"/>
  <c r="U358" i="4" s="1"/>
  <c r="S342" i="4" a="1"/>
  <c r="S342" i="4" s="1"/>
  <c r="T342" i="4" s="1"/>
  <c r="U342" i="4" s="1"/>
  <c r="S326" i="4" a="1"/>
  <c r="S326" i="4" s="1"/>
  <c r="T326" i="4" s="1"/>
  <c r="U326" i="4" s="1"/>
  <c r="S310" i="4" a="1"/>
  <c r="S310" i="4" s="1"/>
  <c r="T310" i="4" s="1"/>
  <c r="U310" i="4" s="1"/>
  <c r="S294" i="4" a="1"/>
  <c r="S294" i="4" s="1"/>
  <c r="T294" i="4" s="1"/>
  <c r="U294" i="4" s="1"/>
  <c r="S278" i="4" a="1"/>
  <c r="S278" i="4" s="1"/>
  <c r="T278" i="4" s="1"/>
  <c r="U278" i="4" s="1"/>
  <c r="S262" i="4" a="1"/>
  <c r="S262" i="4" s="1"/>
  <c r="T262" i="4" s="1"/>
  <c r="U262" i="4" s="1"/>
  <c r="S246" i="4" a="1"/>
  <c r="S246" i="4" s="1"/>
  <c r="T246" i="4" s="1"/>
  <c r="U246" i="4" s="1"/>
  <c r="S230" i="4" a="1"/>
  <c r="S230" i="4" s="1"/>
  <c r="T230" i="4" s="1"/>
  <c r="U230" i="4" s="1"/>
  <c r="S214" i="4" a="1"/>
  <c r="S214" i="4" s="1"/>
  <c r="T214" i="4" s="1"/>
  <c r="U214" i="4" s="1"/>
  <c r="S198" i="4" a="1"/>
  <c r="S198" i="4" s="1"/>
  <c r="T198" i="4" s="1"/>
  <c r="U198" i="4" s="1"/>
  <c r="S182" i="4" a="1"/>
  <c r="S182" i="4" s="1"/>
  <c r="T182" i="4" s="1"/>
  <c r="U182" i="4" s="1"/>
  <c r="S166" i="4" a="1"/>
  <c r="S166" i="4" s="1"/>
  <c r="T166" i="4" s="1"/>
  <c r="U166" i="4" s="1"/>
  <c r="S150" i="4" a="1"/>
  <c r="S150" i="4" s="1"/>
  <c r="T150" i="4" s="1"/>
  <c r="U150" i="4" s="1"/>
  <c r="S134" i="4" a="1"/>
  <c r="S134" i="4" s="1"/>
  <c r="T134" i="4" s="1"/>
  <c r="U134" i="4" s="1"/>
  <c r="S118" i="4" a="1"/>
  <c r="S118" i="4" s="1"/>
  <c r="T118" i="4" s="1"/>
  <c r="U118" i="4" s="1"/>
  <c r="S102" i="4" a="1"/>
  <c r="S102" i="4" s="1"/>
  <c r="T102" i="4" s="1"/>
  <c r="U102" i="4" s="1"/>
  <c r="S86" i="4" a="1"/>
  <c r="S86" i="4" s="1"/>
  <c r="T86" i="4" s="1"/>
  <c r="U86" i="4" s="1"/>
  <c r="S70" i="4" a="1"/>
  <c r="S70" i="4" s="1"/>
  <c r="T70" i="4" s="1"/>
  <c r="U70" i="4" s="1"/>
  <c r="S54" i="4" a="1"/>
  <c r="S54" i="4" s="1"/>
  <c r="T54" i="4" s="1"/>
  <c r="U54" i="4" s="1"/>
  <c r="S38" i="4" a="1"/>
  <c r="S38" i="4" s="1"/>
  <c r="T38" i="4" s="1"/>
  <c r="U38" i="4" s="1"/>
  <c r="S22" i="4" a="1"/>
  <c r="S22" i="4" s="1"/>
  <c r="T22" i="4" s="1"/>
  <c r="U22" i="4" s="1"/>
  <c r="S6" i="4" a="1"/>
  <c r="S6" i="4" s="1"/>
  <c r="T6" i="4" s="1"/>
  <c r="U6" i="4" s="1"/>
  <c r="AD4" i="4"/>
  <c r="AC4" i="4"/>
  <c r="AD5" i="4" l="1"/>
  <c r="Y21" i="4" s="1"/>
  <c r="Y23" i="4"/>
  <c r="Y22" i="4"/>
  <c r="Y2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<sst xmlns="http://schemas.openxmlformats.org/spreadsheetml/2006/main" count="67" uniqueCount="31">
  <si>
    <t>score</t>
    <phoneticPr fontId="4" type="noConversion"/>
  </si>
  <si>
    <t>구독여부</t>
    <phoneticPr fontId="4" type="noConversion"/>
  </si>
  <si>
    <t>수입</t>
    <phoneticPr fontId="4" type="noConversion"/>
  </si>
  <si>
    <t>여성</t>
    <phoneticPr fontId="4" type="noConversion"/>
  </si>
  <si>
    <t>기혼</t>
    <phoneticPr fontId="4" type="noConversion"/>
  </si>
  <si>
    <t>대졸</t>
    <phoneticPr fontId="4" type="noConversion"/>
  </si>
  <si>
    <t>직업유무</t>
    <phoneticPr fontId="4" type="noConversion"/>
  </si>
  <si>
    <t>퇴직</t>
    <phoneticPr fontId="4" type="noConversion"/>
  </si>
  <si>
    <t>무직</t>
    <phoneticPr fontId="4" type="noConversion"/>
  </si>
  <si>
    <t>현재지역거주기간_년</t>
    <phoneticPr fontId="4" type="noConversion"/>
  </si>
  <si>
    <t>맞벌이</t>
    <phoneticPr fontId="4" type="noConversion"/>
  </si>
  <si>
    <t>18세이하자녀여부</t>
    <phoneticPr fontId="4" type="noConversion"/>
  </si>
  <si>
    <t>자가여부</t>
    <phoneticPr fontId="4" type="noConversion"/>
  </si>
  <si>
    <t>단독주택여부</t>
    <phoneticPr fontId="4" type="noConversion"/>
  </si>
  <si>
    <t>백인여부</t>
    <phoneticPr fontId="4" type="noConversion"/>
  </si>
  <si>
    <t>영어_모국어여부</t>
    <phoneticPr fontId="4" type="noConversion"/>
  </si>
  <si>
    <t>과거자녀잡지구독</t>
    <phoneticPr fontId="4" type="noConversion"/>
  </si>
  <si>
    <t>과거부모잡지구독</t>
    <phoneticPr fontId="4" type="noConversion"/>
  </si>
  <si>
    <t>번호</t>
    <phoneticPr fontId="4" type="noConversion"/>
  </si>
  <si>
    <t>구독예측</t>
    <phoneticPr fontId="4" type="noConversion"/>
  </si>
  <si>
    <t>확률</t>
    <phoneticPr fontId="4" type="noConversion"/>
  </si>
  <si>
    <t>상수</t>
    <phoneticPr fontId="4" type="noConversion"/>
  </si>
  <si>
    <r>
      <t>score(</t>
    </r>
    <r>
      <rPr>
        <b/>
        <sz val="11"/>
        <color theme="1"/>
        <rFont val="Calibri"/>
        <family val="2"/>
        <charset val="161"/>
      </rPr>
      <t>β</t>
    </r>
    <r>
      <rPr>
        <b/>
        <sz val="11"/>
        <color theme="1"/>
        <rFont val="맑은 고딕"/>
        <family val="2"/>
        <charset val="129"/>
        <scheme val="minor"/>
      </rPr>
      <t>X)</t>
    </r>
    <phoneticPr fontId="4" type="noConversion"/>
  </si>
  <si>
    <t>cut</t>
    <phoneticPr fontId="4" type="noConversion"/>
  </si>
  <si>
    <t>Confusion Matrix</t>
    <phoneticPr fontId="4" type="noConversion"/>
  </si>
  <si>
    <t>예측</t>
    <phoneticPr fontId="4" type="noConversion"/>
  </si>
  <si>
    <t>실제</t>
    <phoneticPr fontId="4" type="noConversion"/>
  </si>
  <si>
    <t>Accuracy</t>
    <phoneticPr fontId="4" type="noConversion"/>
  </si>
  <si>
    <t>Precision</t>
    <phoneticPr fontId="4" type="noConversion"/>
  </si>
  <si>
    <t>Recall</t>
    <phoneticPr fontId="4" type="noConversion"/>
  </si>
  <si>
    <t>F1-score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</si>
</sst>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_);[Red]\(0\)"/>
    <numFmt numFmtId="177" formatCode="0.0"/>
    <numFmt numFmtId="178" formatCode="0.000"/>
    <numFmt numFmtId="179" formatCode="0.0%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9" fontId="0" fillId="0" borderId="1" xfId="1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1" defaultTableStyle="TableStyleMedium2" defaultPivotStyle="PivotStyleLight16">
    <tableStyle name="Invisible" pivot="0" table="0" count="0" xr9:uid="{463AD1DD-209A-482D-BE51-B209C3BBDD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7BB0-96AF-4A51-972D-AC6941323460}">
  <dimension ref="A1:U675"/>
  <sheetViews>
    <sheetView zoomScale="85" zoomScaleNormal="85" workbookViewId="0">
      <pane xSplit="1" ySplit="1" topLeftCell="B661" activePane="bottomRight" state="frozen"/>
      <selection pane="topRight" activeCell="B1" sqref="B1"/>
      <selection pane="bottomLeft" activeCell="A2" sqref="A2"/>
      <selection pane="bottomRight" activeCell="S675" sqref="S675"/>
    </sheetView>
  </sheetViews>
  <sheetFormatPr defaultColWidth="8.75" defaultRowHeight="16.5"/>
  <cols>
    <col min="1" max="9" width="8.75" style="1"/>
    <col min="10" max="10" width="10" style="1" customWidth="1"/>
    <col min="11" max="18" width="8.75" style="1"/>
    <col min="19" max="19" width="11.25" style="1" customWidth="1"/>
    <col min="20" max="20" width="9.25" style="1" customWidth="1"/>
    <col min="21" max="21" width="8.75" style="1"/>
    <col min="22" max="22" width="3.25" style="1" customWidth="1"/>
    <col min="23" max="16384" width="8.75" style="1"/>
  </cols>
  <sheetData>
    <row r="1" spans="1:21" ht="49.5">
      <c r="A1" s="4" t="s">
        <v>18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0</v>
      </c>
      <c r="T1" s="5" t="s">
        <v>20</v>
      </c>
      <c r="U1" s="5" t="s">
        <v>19</v>
      </c>
    </row>
    <row r="2" spans="1:21">
      <c r="A2" s="2">
        <v>1</v>
      </c>
      <c r="B2" s="2">
        <v>0</v>
      </c>
      <c r="C2" s="2">
        <v>24000</v>
      </c>
      <c r="D2" s="2">
        <v>1</v>
      </c>
      <c r="E2" s="2">
        <v>0</v>
      </c>
      <c r="F2" s="2">
        <v>1</v>
      </c>
      <c r="G2" s="2">
        <v>1</v>
      </c>
      <c r="H2" s="2">
        <v>0</v>
      </c>
      <c r="I2" s="2">
        <v>0</v>
      </c>
      <c r="J2" s="2">
        <v>26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6"/>
      <c r="T2" s="7"/>
      <c r="U2" s="3"/>
    </row>
    <row r="3" spans="1:21">
      <c r="A3" s="2">
        <v>2</v>
      </c>
      <c r="B3" s="2">
        <v>1</v>
      </c>
      <c r="C3" s="2">
        <v>75000</v>
      </c>
      <c r="D3" s="2">
        <v>1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2">
        <v>15</v>
      </c>
      <c r="K3" s="2">
        <v>1</v>
      </c>
      <c r="L3" s="2">
        <v>0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0</v>
      </c>
      <c r="S3" s="6"/>
      <c r="T3" s="7"/>
      <c r="U3" s="3"/>
    </row>
    <row r="4" spans="1:21">
      <c r="A4" s="2">
        <v>3</v>
      </c>
      <c r="B4" s="2">
        <v>0</v>
      </c>
      <c r="C4" s="2">
        <v>46000</v>
      </c>
      <c r="D4" s="2">
        <v>1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36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6"/>
      <c r="T4" s="7"/>
      <c r="U4" s="3"/>
    </row>
    <row r="5" spans="1:21">
      <c r="A5" s="2">
        <v>4</v>
      </c>
      <c r="B5" s="2">
        <v>1</v>
      </c>
      <c r="C5" s="2">
        <v>70000</v>
      </c>
      <c r="D5" s="2">
        <v>0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J5" s="2">
        <v>55</v>
      </c>
      <c r="K5" s="2">
        <v>0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6"/>
      <c r="T5" s="7"/>
      <c r="U5" s="3"/>
    </row>
    <row r="6" spans="1:21">
      <c r="A6" s="2">
        <v>5</v>
      </c>
      <c r="B6" s="2">
        <v>0</v>
      </c>
      <c r="C6" s="2">
        <v>43000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27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s="6"/>
      <c r="T6" s="7"/>
      <c r="U6" s="3"/>
    </row>
    <row r="7" spans="1:21">
      <c r="A7" s="2">
        <v>6</v>
      </c>
      <c r="B7" s="2">
        <v>0</v>
      </c>
      <c r="C7" s="2">
        <v>24000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41</v>
      </c>
      <c r="K7" s="2">
        <v>0</v>
      </c>
      <c r="L7" s="2">
        <v>0</v>
      </c>
      <c r="M7" s="2">
        <v>1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6"/>
      <c r="T7" s="7"/>
      <c r="U7" s="3"/>
    </row>
    <row r="8" spans="1:21">
      <c r="A8" s="2">
        <v>7</v>
      </c>
      <c r="B8" s="2">
        <v>0</v>
      </c>
      <c r="C8" s="2">
        <v>26000</v>
      </c>
      <c r="D8" s="2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  <c r="J8" s="2">
        <v>20</v>
      </c>
      <c r="K8" s="2">
        <v>0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6"/>
      <c r="T8" s="7"/>
      <c r="U8" s="3"/>
    </row>
    <row r="9" spans="1:21">
      <c r="A9" s="2">
        <v>8</v>
      </c>
      <c r="B9" s="2">
        <v>0</v>
      </c>
      <c r="C9" s="2">
        <v>38000</v>
      </c>
      <c r="D9" s="2">
        <v>1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8</v>
      </c>
      <c r="K9" s="2">
        <v>0</v>
      </c>
      <c r="L9" s="2">
        <v>0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 s="6"/>
      <c r="T9" s="7"/>
      <c r="U9" s="3"/>
    </row>
    <row r="10" spans="1:21">
      <c r="A10" s="2">
        <v>9</v>
      </c>
      <c r="B10" s="2">
        <v>0</v>
      </c>
      <c r="C10" s="2">
        <v>39000</v>
      </c>
      <c r="D10" s="2">
        <v>1</v>
      </c>
      <c r="E10" s="2">
        <v>0</v>
      </c>
      <c r="F10" s="2">
        <v>1</v>
      </c>
      <c r="G10" s="2">
        <v>1</v>
      </c>
      <c r="H10" s="2">
        <v>0</v>
      </c>
      <c r="I10" s="2">
        <v>0</v>
      </c>
      <c r="J10" s="2">
        <v>17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0</v>
      </c>
      <c r="R10" s="2">
        <v>0</v>
      </c>
      <c r="S10" s="6"/>
      <c r="T10" s="7"/>
      <c r="U10" s="3"/>
    </row>
    <row r="11" spans="1:21">
      <c r="A11" s="2">
        <v>10</v>
      </c>
      <c r="B11" s="2">
        <v>0</v>
      </c>
      <c r="C11" s="2">
        <v>49000</v>
      </c>
      <c r="D11" s="2">
        <v>0</v>
      </c>
      <c r="E11" s="2">
        <v>1</v>
      </c>
      <c r="F11" s="2">
        <v>0</v>
      </c>
      <c r="G11" s="2">
        <v>0</v>
      </c>
      <c r="H11" s="2">
        <v>1</v>
      </c>
      <c r="I11" s="2">
        <v>0</v>
      </c>
      <c r="J11" s="2">
        <v>31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 s="6"/>
      <c r="T11" s="7"/>
      <c r="U11" s="3"/>
    </row>
    <row r="12" spans="1:21">
      <c r="A12" s="2">
        <v>11</v>
      </c>
      <c r="B12" s="2">
        <v>1</v>
      </c>
      <c r="C12" s="2">
        <v>75000</v>
      </c>
      <c r="D12" s="2">
        <v>1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13</v>
      </c>
      <c r="K12" s="2">
        <v>1</v>
      </c>
      <c r="L12" s="2">
        <v>0</v>
      </c>
      <c r="M12" s="2">
        <v>0</v>
      </c>
      <c r="N12" s="2">
        <v>0</v>
      </c>
      <c r="O12" s="2">
        <v>1</v>
      </c>
      <c r="P12" s="2">
        <v>1</v>
      </c>
      <c r="Q12" s="2">
        <v>0</v>
      </c>
      <c r="R12" s="2">
        <v>1</v>
      </c>
      <c r="S12" s="6"/>
      <c r="T12" s="7"/>
      <c r="U12" s="3"/>
    </row>
    <row r="13" spans="1:21">
      <c r="A13" s="2">
        <v>12</v>
      </c>
      <c r="B13" s="2">
        <v>0</v>
      </c>
      <c r="C13" s="2">
        <v>31000</v>
      </c>
      <c r="D13" s="2">
        <v>1</v>
      </c>
      <c r="E13" s="2">
        <v>0</v>
      </c>
      <c r="F13" s="2">
        <v>1</v>
      </c>
      <c r="G13" s="2">
        <v>0</v>
      </c>
      <c r="H13" s="2">
        <v>1</v>
      </c>
      <c r="I13" s="2">
        <v>0</v>
      </c>
      <c r="J13" s="2">
        <v>51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0</v>
      </c>
      <c r="S13" s="6"/>
      <c r="T13" s="7"/>
      <c r="U13" s="3"/>
    </row>
    <row r="14" spans="1:21">
      <c r="A14" s="2">
        <v>13</v>
      </c>
      <c r="B14" s="2">
        <v>0</v>
      </c>
      <c r="C14" s="2">
        <v>10000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1</v>
      </c>
      <c r="Q14" s="2">
        <v>0</v>
      </c>
      <c r="R14" s="2">
        <v>0</v>
      </c>
      <c r="S14" s="6"/>
      <c r="T14" s="7"/>
      <c r="U14" s="3"/>
    </row>
    <row r="15" spans="1:21">
      <c r="A15" s="2">
        <v>14</v>
      </c>
      <c r="B15" s="2">
        <v>0</v>
      </c>
      <c r="C15" s="2">
        <v>22000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0</v>
      </c>
      <c r="S15" s="6"/>
      <c r="T15" s="7"/>
      <c r="U15" s="3"/>
    </row>
    <row r="16" spans="1:21">
      <c r="A16" s="2">
        <v>15</v>
      </c>
      <c r="B16" s="2">
        <v>0</v>
      </c>
      <c r="C16" s="2">
        <v>39000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24</v>
      </c>
      <c r="K16" s="2">
        <v>0</v>
      </c>
      <c r="L16" s="2">
        <v>0</v>
      </c>
      <c r="M16" s="2">
        <v>1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  <c r="S16" s="6"/>
      <c r="T16" s="7"/>
      <c r="U16" s="3"/>
    </row>
    <row r="17" spans="1:21">
      <c r="A17" s="2">
        <v>16</v>
      </c>
      <c r="B17" s="2">
        <v>0</v>
      </c>
      <c r="C17" s="2">
        <v>2000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2">
        <v>52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0</v>
      </c>
      <c r="R17" s="2">
        <v>0</v>
      </c>
      <c r="S17" s="6"/>
      <c r="T17" s="7"/>
      <c r="U17" s="3"/>
    </row>
    <row r="18" spans="1:21">
      <c r="A18" s="2">
        <v>17</v>
      </c>
      <c r="B18" s="2">
        <v>1</v>
      </c>
      <c r="C18" s="2">
        <v>75000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9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6"/>
      <c r="T18" s="7"/>
      <c r="U18" s="3"/>
    </row>
    <row r="19" spans="1:21">
      <c r="A19" s="2">
        <v>18</v>
      </c>
      <c r="B19" s="2">
        <v>1</v>
      </c>
      <c r="C19" s="2">
        <v>69000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0</v>
      </c>
      <c r="S19" s="6"/>
      <c r="T19" s="7"/>
      <c r="U19" s="3"/>
    </row>
    <row r="20" spans="1:21">
      <c r="A20" s="2">
        <v>19</v>
      </c>
      <c r="B20" s="2">
        <v>1</v>
      </c>
      <c r="C20" s="2">
        <v>60000</v>
      </c>
      <c r="D20" s="2">
        <v>1</v>
      </c>
      <c r="E20" s="2">
        <v>1</v>
      </c>
      <c r="F20" s="2">
        <v>0</v>
      </c>
      <c r="G20" s="2">
        <v>1</v>
      </c>
      <c r="H20" s="2">
        <v>0</v>
      </c>
      <c r="I20" s="2">
        <v>0</v>
      </c>
      <c r="J20" s="2">
        <v>6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  <c r="R20" s="2">
        <v>1</v>
      </c>
      <c r="S20" s="6"/>
      <c r="T20" s="7"/>
      <c r="U20" s="3"/>
    </row>
    <row r="21" spans="1:21">
      <c r="A21" s="2">
        <v>20</v>
      </c>
      <c r="B21" s="2">
        <v>0</v>
      </c>
      <c r="C21" s="2">
        <v>12000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22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6"/>
      <c r="T21" s="7"/>
      <c r="U21" s="3"/>
    </row>
    <row r="22" spans="1:21">
      <c r="A22" s="2">
        <v>21</v>
      </c>
      <c r="B22" s="2">
        <v>0</v>
      </c>
      <c r="C22" s="2">
        <v>42000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46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6"/>
      <c r="T22" s="7"/>
      <c r="U22" s="3"/>
    </row>
    <row r="23" spans="1:21">
      <c r="A23" s="2">
        <v>22</v>
      </c>
      <c r="B23" s="2">
        <v>0</v>
      </c>
      <c r="C23" s="2">
        <v>4000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15</v>
      </c>
      <c r="K23" s="2">
        <v>0</v>
      </c>
      <c r="L23" s="2">
        <v>1</v>
      </c>
      <c r="M23" s="2">
        <v>0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  <c r="S23" s="6"/>
      <c r="T23" s="7"/>
      <c r="U23" s="3"/>
    </row>
    <row r="24" spans="1:21">
      <c r="A24" s="2">
        <v>23</v>
      </c>
      <c r="B24" s="2">
        <v>0</v>
      </c>
      <c r="C24" s="2">
        <v>75000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12</v>
      </c>
      <c r="K24" s="2">
        <v>0</v>
      </c>
      <c r="L24" s="2">
        <v>1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6"/>
      <c r="T24" s="7"/>
      <c r="U24" s="3"/>
    </row>
    <row r="25" spans="1:21">
      <c r="A25" s="2">
        <v>24</v>
      </c>
      <c r="B25" s="2">
        <v>1</v>
      </c>
      <c r="C25" s="2">
        <v>45000</v>
      </c>
      <c r="D25" s="2">
        <v>1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20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  <c r="R25" s="2">
        <v>1</v>
      </c>
      <c r="S25" s="6"/>
      <c r="T25" s="7"/>
      <c r="U25" s="3"/>
    </row>
    <row r="26" spans="1:21">
      <c r="A26" s="2">
        <v>25</v>
      </c>
      <c r="B26" s="2">
        <v>0</v>
      </c>
      <c r="C26" s="2">
        <v>21000</v>
      </c>
      <c r="D26" s="2">
        <v>1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0</v>
      </c>
      <c r="R26" s="2">
        <v>0</v>
      </c>
      <c r="S26" s="6"/>
      <c r="T26" s="7"/>
      <c r="U26" s="3"/>
    </row>
    <row r="27" spans="1:21">
      <c r="A27" s="2">
        <v>26</v>
      </c>
      <c r="B27" s="2">
        <v>1</v>
      </c>
      <c r="C27" s="2">
        <v>75000</v>
      </c>
      <c r="D27" s="2">
        <v>1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16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1</v>
      </c>
      <c r="Q27" s="2">
        <v>0</v>
      </c>
      <c r="R27" s="2">
        <v>0</v>
      </c>
      <c r="S27" s="6"/>
      <c r="T27" s="7"/>
      <c r="U27" s="3"/>
    </row>
    <row r="28" spans="1:21">
      <c r="A28" s="2">
        <v>27</v>
      </c>
      <c r="B28" s="2">
        <v>0</v>
      </c>
      <c r="C28" s="2">
        <v>23000</v>
      </c>
      <c r="D28" s="2">
        <v>0</v>
      </c>
      <c r="E28" s="2">
        <v>0</v>
      </c>
      <c r="F28" s="2">
        <v>1</v>
      </c>
      <c r="G28" s="2">
        <v>1</v>
      </c>
      <c r="H28" s="2">
        <v>0</v>
      </c>
      <c r="I28" s="2">
        <v>0</v>
      </c>
      <c r="J28" s="2">
        <v>2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6"/>
      <c r="T28" s="7"/>
      <c r="U28" s="3"/>
    </row>
    <row r="29" spans="1:21">
      <c r="A29" s="2">
        <v>28</v>
      </c>
      <c r="B29" s="2">
        <v>0</v>
      </c>
      <c r="C29" s="2">
        <v>38000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33</v>
      </c>
      <c r="K29" s="2">
        <v>0</v>
      </c>
      <c r="L29" s="2">
        <v>0</v>
      </c>
      <c r="M29" s="2">
        <v>1</v>
      </c>
      <c r="N29" s="2">
        <v>1</v>
      </c>
      <c r="O29" s="2">
        <v>1</v>
      </c>
      <c r="P29" s="2">
        <v>1</v>
      </c>
      <c r="Q29" s="2">
        <v>0</v>
      </c>
      <c r="R29" s="2">
        <v>0</v>
      </c>
      <c r="S29" s="6"/>
      <c r="T29" s="7"/>
      <c r="U29" s="3"/>
    </row>
    <row r="30" spans="1:21">
      <c r="A30" s="2">
        <v>29</v>
      </c>
      <c r="B30" s="2">
        <v>0</v>
      </c>
      <c r="C30" s="2">
        <v>12000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5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1</v>
      </c>
      <c r="Q30" s="2">
        <v>0</v>
      </c>
      <c r="R30" s="2">
        <v>0</v>
      </c>
      <c r="S30" s="6"/>
      <c r="T30" s="7"/>
      <c r="U30" s="3"/>
    </row>
    <row r="31" spans="1:21">
      <c r="A31" s="2">
        <v>30</v>
      </c>
      <c r="B31" s="2">
        <v>0</v>
      </c>
      <c r="C31" s="2">
        <v>46000</v>
      </c>
      <c r="D31" s="2">
        <v>1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16</v>
      </c>
      <c r="K31" s="2">
        <v>0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  <c r="S31" s="6"/>
      <c r="T31" s="7"/>
      <c r="U31" s="3"/>
    </row>
    <row r="32" spans="1:21">
      <c r="A32" s="2">
        <v>31</v>
      </c>
      <c r="B32" s="2">
        <v>0</v>
      </c>
      <c r="C32" s="2">
        <v>50000</v>
      </c>
      <c r="D32" s="2">
        <v>1</v>
      </c>
      <c r="E32" s="2">
        <v>1</v>
      </c>
      <c r="F32" s="2">
        <v>0</v>
      </c>
      <c r="G32" s="2">
        <v>1</v>
      </c>
      <c r="H32" s="2">
        <v>0</v>
      </c>
      <c r="I32" s="2">
        <v>0</v>
      </c>
      <c r="J32" s="2">
        <v>7</v>
      </c>
      <c r="K32" s="2">
        <v>1</v>
      </c>
      <c r="L32" s="2">
        <v>1</v>
      </c>
      <c r="M32" s="2">
        <v>1</v>
      </c>
      <c r="N32" s="2">
        <v>1</v>
      </c>
      <c r="O32" s="2">
        <v>0</v>
      </c>
      <c r="P32" s="2">
        <v>1</v>
      </c>
      <c r="Q32" s="2">
        <v>0</v>
      </c>
      <c r="R32" s="2">
        <v>1</v>
      </c>
      <c r="S32" s="6"/>
      <c r="T32" s="7"/>
      <c r="U32" s="3"/>
    </row>
    <row r="33" spans="1:21">
      <c r="A33" s="2">
        <v>32</v>
      </c>
      <c r="B33" s="2">
        <v>0</v>
      </c>
      <c r="C33" s="2">
        <v>46000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17</v>
      </c>
      <c r="K33" s="2">
        <v>0</v>
      </c>
      <c r="L33" s="2">
        <v>1</v>
      </c>
      <c r="M33" s="2">
        <v>0</v>
      </c>
      <c r="N33" s="2">
        <v>1</v>
      </c>
      <c r="O33" s="2">
        <v>1</v>
      </c>
      <c r="P33" s="2">
        <v>1</v>
      </c>
      <c r="Q33" s="2">
        <v>0</v>
      </c>
      <c r="R33" s="2">
        <v>0</v>
      </c>
      <c r="S33" s="6"/>
      <c r="T33" s="7"/>
      <c r="U33" s="3"/>
    </row>
    <row r="34" spans="1:21">
      <c r="A34" s="2">
        <v>33</v>
      </c>
      <c r="B34" s="2">
        <v>1</v>
      </c>
      <c r="C34" s="2">
        <v>75000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2">
        <v>36</v>
      </c>
      <c r="K34" s="2">
        <v>1</v>
      </c>
      <c r="L34" s="2">
        <v>0</v>
      </c>
      <c r="M34" s="2">
        <v>1</v>
      </c>
      <c r="N34" s="2">
        <v>1</v>
      </c>
      <c r="O34" s="2">
        <v>1</v>
      </c>
      <c r="P34" s="2">
        <v>1</v>
      </c>
      <c r="Q34" s="2">
        <v>0</v>
      </c>
      <c r="R34" s="2">
        <v>1</v>
      </c>
      <c r="S34" s="6"/>
      <c r="T34" s="7"/>
      <c r="U34" s="3"/>
    </row>
    <row r="35" spans="1:21">
      <c r="A35" s="2">
        <v>34</v>
      </c>
      <c r="B35" s="2">
        <v>0</v>
      </c>
      <c r="C35" s="2">
        <v>4000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1</v>
      </c>
      <c r="M35" s="2">
        <v>0</v>
      </c>
      <c r="N35" s="2">
        <v>1</v>
      </c>
      <c r="O35" s="2">
        <v>1</v>
      </c>
      <c r="P35" s="2">
        <v>1</v>
      </c>
      <c r="Q35" s="2">
        <v>0</v>
      </c>
      <c r="R35" s="2">
        <v>0</v>
      </c>
      <c r="S35" s="6"/>
      <c r="T35" s="7"/>
      <c r="U35" s="3"/>
    </row>
    <row r="36" spans="1:21">
      <c r="A36" s="2">
        <v>35</v>
      </c>
      <c r="B36" s="2">
        <v>0</v>
      </c>
      <c r="C36" s="2">
        <v>33000</v>
      </c>
      <c r="D36" s="2">
        <v>1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43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1</v>
      </c>
      <c r="Q36" s="2">
        <v>1</v>
      </c>
      <c r="R36" s="2">
        <v>0</v>
      </c>
      <c r="S36" s="6"/>
      <c r="T36" s="7"/>
      <c r="U36" s="3"/>
    </row>
    <row r="37" spans="1:21">
      <c r="A37" s="2">
        <v>36</v>
      </c>
      <c r="B37" s="2">
        <v>0</v>
      </c>
      <c r="C37" s="2">
        <v>26000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33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0</v>
      </c>
      <c r="S37" s="6"/>
      <c r="T37" s="7"/>
      <c r="U37" s="3"/>
    </row>
    <row r="38" spans="1:21">
      <c r="A38" s="2">
        <v>37</v>
      </c>
      <c r="B38" s="2">
        <v>1</v>
      </c>
      <c r="C38" s="2">
        <v>75000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12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  <c r="S38" s="6"/>
      <c r="T38" s="7"/>
      <c r="U38" s="3"/>
    </row>
    <row r="39" spans="1:21">
      <c r="A39" s="2">
        <v>38</v>
      </c>
      <c r="B39" s="2">
        <v>0</v>
      </c>
      <c r="C39" s="2">
        <v>33000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15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1</v>
      </c>
      <c r="Q39" s="2">
        <v>0</v>
      </c>
      <c r="R39" s="2">
        <v>0</v>
      </c>
      <c r="S39" s="6"/>
      <c r="T39" s="7"/>
      <c r="U39" s="3"/>
    </row>
    <row r="40" spans="1:21">
      <c r="A40" s="2">
        <v>39</v>
      </c>
      <c r="B40" s="2">
        <v>0</v>
      </c>
      <c r="C40" s="2">
        <v>4000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6"/>
      <c r="T40" s="7"/>
      <c r="U40" s="3"/>
    </row>
    <row r="41" spans="1:21">
      <c r="A41" s="2">
        <v>40</v>
      </c>
      <c r="B41" s="2">
        <v>0</v>
      </c>
      <c r="C41" s="2">
        <v>49000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10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0</v>
      </c>
      <c r="S41" s="6"/>
      <c r="T41" s="7"/>
      <c r="U41" s="3"/>
    </row>
    <row r="42" spans="1:21">
      <c r="A42" s="2">
        <v>41</v>
      </c>
      <c r="B42" s="2">
        <v>0</v>
      </c>
      <c r="C42" s="2">
        <v>21000</v>
      </c>
      <c r="D42" s="2">
        <v>1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20</v>
      </c>
      <c r="K42" s="2">
        <v>1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6"/>
      <c r="T42" s="7"/>
      <c r="U42" s="3"/>
    </row>
    <row r="43" spans="1:21">
      <c r="A43" s="2">
        <v>42</v>
      </c>
      <c r="B43" s="2">
        <v>0</v>
      </c>
      <c r="C43" s="2">
        <v>20000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1</v>
      </c>
      <c r="N43" s="2">
        <v>1</v>
      </c>
      <c r="O43" s="2">
        <v>0</v>
      </c>
      <c r="P43" s="2">
        <v>1</v>
      </c>
      <c r="Q43" s="2">
        <v>0</v>
      </c>
      <c r="R43" s="2">
        <v>0</v>
      </c>
      <c r="S43" s="6"/>
      <c r="T43" s="7"/>
      <c r="U43" s="3"/>
    </row>
    <row r="44" spans="1:21">
      <c r="A44" s="2">
        <v>43</v>
      </c>
      <c r="B44" s="2">
        <v>0</v>
      </c>
      <c r="C44" s="2">
        <v>15000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3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1</v>
      </c>
      <c r="Q44" s="2">
        <v>0</v>
      </c>
      <c r="R44" s="2">
        <v>0</v>
      </c>
      <c r="S44" s="6"/>
      <c r="T44" s="7"/>
      <c r="U44" s="3"/>
    </row>
    <row r="45" spans="1:21">
      <c r="A45" s="2">
        <v>44</v>
      </c>
      <c r="B45" s="2">
        <v>0</v>
      </c>
      <c r="C45" s="2">
        <v>25000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23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6"/>
      <c r="T45" s="7"/>
      <c r="U45" s="3"/>
    </row>
    <row r="46" spans="1:21">
      <c r="A46" s="2">
        <v>45</v>
      </c>
      <c r="B46" s="2">
        <v>0</v>
      </c>
      <c r="C46" s="2">
        <v>40000</v>
      </c>
      <c r="D46" s="2">
        <v>0</v>
      </c>
      <c r="E46" s="2">
        <v>1</v>
      </c>
      <c r="F46" s="2">
        <v>1</v>
      </c>
      <c r="G46" s="2">
        <v>0</v>
      </c>
      <c r="H46" s="2">
        <v>1</v>
      </c>
      <c r="I46" s="2">
        <v>0</v>
      </c>
      <c r="J46" s="2">
        <v>13</v>
      </c>
      <c r="K46" s="2">
        <v>0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0</v>
      </c>
      <c r="R46" s="2">
        <v>0</v>
      </c>
      <c r="S46" s="6"/>
      <c r="T46" s="7"/>
      <c r="U46" s="3"/>
    </row>
    <row r="47" spans="1:21">
      <c r="A47" s="2">
        <v>46</v>
      </c>
      <c r="B47" s="2">
        <v>1</v>
      </c>
      <c r="C47" s="2">
        <v>75000</v>
      </c>
      <c r="D47" s="2">
        <v>1</v>
      </c>
      <c r="E47" s="2">
        <v>1</v>
      </c>
      <c r="F47" s="2">
        <v>1</v>
      </c>
      <c r="G47" s="2">
        <v>1</v>
      </c>
      <c r="H47" s="2">
        <v>0</v>
      </c>
      <c r="I47" s="2">
        <v>0</v>
      </c>
      <c r="J47" s="2">
        <v>12</v>
      </c>
      <c r="K47" s="2">
        <v>1</v>
      </c>
      <c r="L47" s="2">
        <v>0</v>
      </c>
      <c r="M47" s="2">
        <v>1</v>
      </c>
      <c r="N47" s="2">
        <v>1</v>
      </c>
      <c r="O47" s="2">
        <v>1</v>
      </c>
      <c r="P47" s="2">
        <v>1</v>
      </c>
      <c r="Q47" s="2">
        <v>0</v>
      </c>
      <c r="R47" s="2">
        <v>0</v>
      </c>
      <c r="S47" s="6"/>
      <c r="T47" s="7"/>
      <c r="U47" s="3"/>
    </row>
    <row r="48" spans="1:21">
      <c r="A48" s="2">
        <v>47</v>
      </c>
      <c r="B48" s="2">
        <v>0</v>
      </c>
      <c r="C48" s="2">
        <v>33000</v>
      </c>
      <c r="D48" s="2">
        <v>1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20</v>
      </c>
      <c r="K48" s="2">
        <v>1</v>
      </c>
      <c r="L48" s="2">
        <v>0</v>
      </c>
      <c r="M48" s="2">
        <v>1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  <c r="S48" s="6"/>
      <c r="T48" s="7"/>
      <c r="U48" s="3"/>
    </row>
    <row r="49" spans="1:21">
      <c r="A49" s="2">
        <v>48</v>
      </c>
      <c r="B49" s="2">
        <v>0</v>
      </c>
      <c r="C49" s="2">
        <v>10000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1</v>
      </c>
      <c r="Q49" s="2">
        <v>0</v>
      </c>
      <c r="R49" s="2">
        <v>0</v>
      </c>
      <c r="S49" s="6"/>
      <c r="T49" s="7"/>
      <c r="U49" s="3"/>
    </row>
    <row r="50" spans="1:21">
      <c r="A50" s="2">
        <v>49</v>
      </c>
      <c r="B50" s="2">
        <v>0</v>
      </c>
      <c r="C50" s="2">
        <v>20000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29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6"/>
      <c r="T50" s="7"/>
      <c r="U50" s="3"/>
    </row>
    <row r="51" spans="1:21">
      <c r="A51" s="2">
        <v>50</v>
      </c>
      <c r="B51" s="2">
        <v>0</v>
      </c>
      <c r="C51" s="2">
        <v>2000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14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6"/>
      <c r="T51" s="7"/>
      <c r="U51" s="3"/>
    </row>
    <row r="52" spans="1:21">
      <c r="A52" s="2">
        <v>51</v>
      </c>
      <c r="B52" s="2">
        <v>0</v>
      </c>
      <c r="C52" s="2">
        <v>43000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1</v>
      </c>
      <c r="Q52" s="2">
        <v>0</v>
      </c>
      <c r="R52" s="2">
        <v>0</v>
      </c>
      <c r="S52" s="6"/>
      <c r="T52" s="7"/>
      <c r="U52" s="3"/>
    </row>
    <row r="53" spans="1:21">
      <c r="A53" s="2">
        <v>52</v>
      </c>
      <c r="B53" s="2">
        <v>0</v>
      </c>
      <c r="C53" s="2">
        <v>11000</v>
      </c>
      <c r="D53" s="2">
        <v>1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1</v>
      </c>
      <c r="R53" s="2">
        <v>0</v>
      </c>
      <c r="S53" s="6"/>
      <c r="T53" s="7"/>
      <c r="U53" s="3"/>
    </row>
    <row r="54" spans="1:21">
      <c r="A54" s="2">
        <v>53</v>
      </c>
      <c r="B54" s="2">
        <v>0</v>
      </c>
      <c r="C54" s="2">
        <v>18000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24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0</v>
      </c>
      <c r="R54" s="2">
        <v>0</v>
      </c>
      <c r="S54" s="6"/>
      <c r="T54" s="7"/>
      <c r="U54" s="3"/>
    </row>
    <row r="55" spans="1:21">
      <c r="A55" s="2">
        <v>54</v>
      </c>
      <c r="B55" s="2">
        <v>0</v>
      </c>
      <c r="C55" s="2">
        <v>7000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10</v>
      </c>
      <c r="K55" s="2">
        <v>0</v>
      </c>
      <c r="L55" s="2">
        <v>1</v>
      </c>
      <c r="M55" s="2">
        <v>0</v>
      </c>
      <c r="N55" s="2">
        <v>1</v>
      </c>
      <c r="O55" s="2">
        <v>1</v>
      </c>
      <c r="P55" s="2">
        <v>1</v>
      </c>
      <c r="Q55" s="2">
        <v>0</v>
      </c>
      <c r="R55" s="2">
        <v>0</v>
      </c>
      <c r="S55" s="6"/>
      <c r="T55" s="7"/>
      <c r="U55" s="3"/>
    </row>
    <row r="56" spans="1:21">
      <c r="A56" s="2">
        <v>55</v>
      </c>
      <c r="B56" s="2">
        <v>1</v>
      </c>
      <c r="C56" s="2">
        <v>75000</v>
      </c>
      <c r="D56" s="2">
        <v>1</v>
      </c>
      <c r="E56" s="2">
        <v>1</v>
      </c>
      <c r="F56" s="2">
        <v>0</v>
      </c>
      <c r="G56" s="2">
        <v>1</v>
      </c>
      <c r="H56" s="2">
        <v>0</v>
      </c>
      <c r="I56" s="2">
        <v>0</v>
      </c>
      <c r="J56" s="2">
        <v>18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  <c r="S56" s="6"/>
      <c r="T56" s="7"/>
      <c r="U56" s="3"/>
    </row>
    <row r="57" spans="1:21">
      <c r="A57" s="2">
        <v>56</v>
      </c>
      <c r="B57" s="2">
        <v>0</v>
      </c>
      <c r="C57" s="2">
        <v>2000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0</v>
      </c>
      <c r="R57" s="2">
        <v>0</v>
      </c>
      <c r="S57" s="6"/>
      <c r="T57" s="7"/>
      <c r="U57" s="3"/>
    </row>
    <row r="58" spans="1:21">
      <c r="A58" s="2">
        <v>57</v>
      </c>
      <c r="B58" s="2">
        <v>0</v>
      </c>
      <c r="C58" s="2">
        <v>7000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13</v>
      </c>
      <c r="K58" s="2">
        <v>0</v>
      </c>
      <c r="L58" s="2">
        <v>1</v>
      </c>
      <c r="M58" s="2">
        <v>0</v>
      </c>
      <c r="N58" s="2">
        <v>1</v>
      </c>
      <c r="O58" s="2">
        <v>1</v>
      </c>
      <c r="P58" s="2">
        <v>1</v>
      </c>
      <c r="Q58" s="2">
        <v>0</v>
      </c>
      <c r="R58" s="2">
        <v>0</v>
      </c>
      <c r="S58" s="6"/>
      <c r="T58" s="7"/>
      <c r="U58" s="3"/>
    </row>
    <row r="59" spans="1:21">
      <c r="A59" s="2">
        <v>58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32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  <c r="S59" s="6"/>
      <c r="T59" s="7"/>
      <c r="U59" s="3"/>
    </row>
    <row r="60" spans="1:21">
      <c r="A60" s="2">
        <v>59</v>
      </c>
      <c r="B60" s="2">
        <v>1</v>
      </c>
      <c r="C60" s="2">
        <v>47000</v>
      </c>
      <c r="D60" s="2">
        <v>1</v>
      </c>
      <c r="E60" s="2">
        <v>1</v>
      </c>
      <c r="F60" s="2">
        <v>1</v>
      </c>
      <c r="G60" s="2">
        <v>1</v>
      </c>
      <c r="H60" s="2">
        <v>0</v>
      </c>
      <c r="I60" s="2">
        <v>0</v>
      </c>
      <c r="J60" s="2">
        <v>7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6"/>
      <c r="T60" s="7"/>
      <c r="U60" s="3"/>
    </row>
    <row r="61" spans="1:21">
      <c r="A61" s="2">
        <v>60</v>
      </c>
      <c r="B61" s="2">
        <v>0</v>
      </c>
      <c r="C61" s="2">
        <v>20000</v>
      </c>
      <c r="D61" s="2">
        <v>1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3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6"/>
      <c r="T61" s="7"/>
      <c r="U61" s="3"/>
    </row>
    <row r="62" spans="1:21">
      <c r="A62" s="2">
        <v>61</v>
      </c>
      <c r="B62" s="2">
        <v>1</v>
      </c>
      <c r="C62" s="2">
        <v>75000</v>
      </c>
      <c r="D62" s="2">
        <v>1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9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0</v>
      </c>
      <c r="R62" s="2">
        <v>0</v>
      </c>
      <c r="S62" s="6"/>
      <c r="T62" s="7"/>
      <c r="U62" s="3"/>
    </row>
    <row r="63" spans="1:21">
      <c r="A63" s="2">
        <v>62</v>
      </c>
      <c r="B63" s="2">
        <v>1</v>
      </c>
      <c r="C63" s="2">
        <v>61000</v>
      </c>
      <c r="D63" s="2">
        <v>1</v>
      </c>
      <c r="E63" s="2">
        <v>1</v>
      </c>
      <c r="F63" s="2">
        <v>1</v>
      </c>
      <c r="G63" s="2">
        <v>1</v>
      </c>
      <c r="H63" s="2">
        <v>0</v>
      </c>
      <c r="I63" s="2">
        <v>0</v>
      </c>
      <c r="J63" s="2">
        <v>51</v>
      </c>
      <c r="K63" s="2">
        <v>1</v>
      </c>
      <c r="L63" s="2">
        <v>0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6"/>
      <c r="T63" s="7"/>
      <c r="U63" s="3"/>
    </row>
    <row r="64" spans="1:21">
      <c r="A64" s="2">
        <v>63</v>
      </c>
      <c r="B64" s="2">
        <v>0</v>
      </c>
      <c r="C64" s="2">
        <v>30000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14</v>
      </c>
      <c r="K64" s="2">
        <v>0</v>
      </c>
      <c r="L64" s="2">
        <v>1</v>
      </c>
      <c r="M64" s="2">
        <v>0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6"/>
      <c r="T64" s="7"/>
      <c r="U64" s="3"/>
    </row>
    <row r="65" spans="1:21">
      <c r="A65" s="2">
        <v>64</v>
      </c>
      <c r="B65" s="2">
        <v>0</v>
      </c>
      <c r="C65" s="2">
        <v>6000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18</v>
      </c>
      <c r="K65" s="2">
        <v>0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0</v>
      </c>
      <c r="R65" s="2">
        <v>0</v>
      </c>
      <c r="S65" s="6"/>
      <c r="T65" s="7"/>
      <c r="U65" s="3"/>
    </row>
    <row r="66" spans="1:21">
      <c r="A66" s="2">
        <v>65</v>
      </c>
      <c r="B66" s="2">
        <v>0</v>
      </c>
      <c r="C66" s="2">
        <v>22000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24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1</v>
      </c>
      <c r="Q66" s="2">
        <v>0</v>
      </c>
      <c r="R66" s="2">
        <v>0</v>
      </c>
      <c r="S66" s="6"/>
      <c r="T66" s="7"/>
      <c r="U66" s="3"/>
    </row>
    <row r="67" spans="1:21">
      <c r="A67" s="2">
        <v>66</v>
      </c>
      <c r="B67" s="2">
        <v>0</v>
      </c>
      <c r="C67" s="2">
        <v>39000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0</v>
      </c>
      <c r="R67" s="2">
        <v>0</v>
      </c>
      <c r="S67" s="6"/>
      <c r="T67" s="7"/>
      <c r="U67" s="3"/>
    </row>
    <row r="68" spans="1:21">
      <c r="A68" s="2">
        <v>67</v>
      </c>
      <c r="B68" s="2">
        <v>0</v>
      </c>
      <c r="C68" s="2">
        <v>26000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24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>
        <v>1</v>
      </c>
      <c r="Q68" s="2">
        <v>0</v>
      </c>
      <c r="R68" s="2">
        <v>1</v>
      </c>
      <c r="S68" s="6"/>
      <c r="T68" s="7"/>
      <c r="U68" s="3"/>
    </row>
    <row r="69" spans="1:21">
      <c r="A69" s="2">
        <v>68</v>
      </c>
      <c r="B69" s="2">
        <v>0</v>
      </c>
      <c r="C69" s="2">
        <v>22000</v>
      </c>
      <c r="D69" s="2">
        <v>1</v>
      </c>
      <c r="E69" s="2">
        <v>0</v>
      </c>
      <c r="F69" s="2">
        <v>1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0</v>
      </c>
      <c r="R69" s="2">
        <v>0</v>
      </c>
      <c r="S69" s="6"/>
      <c r="T69" s="7"/>
      <c r="U69" s="3"/>
    </row>
    <row r="70" spans="1:21">
      <c r="A70" s="2">
        <v>69</v>
      </c>
      <c r="B70" s="2">
        <v>0</v>
      </c>
      <c r="C70" s="2">
        <v>46000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1</v>
      </c>
      <c r="S70" s="6"/>
      <c r="T70" s="7"/>
      <c r="U70" s="3"/>
    </row>
    <row r="71" spans="1:21">
      <c r="A71" s="2">
        <v>70</v>
      </c>
      <c r="B71" s="2">
        <v>0</v>
      </c>
      <c r="C71" s="2">
        <v>39000</v>
      </c>
      <c r="D71" s="2">
        <v>1</v>
      </c>
      <c r="E71" s="2">
        <v>1</v>
      </c>
      <c r="F71" s="2">
        <v>1</v>
      </c>
      <c r="G71" s="2">
        <v>0</v>
      </c>
      <c r="H71" s="2">
        <v>0</v>
      </c>
      <c r="I71" s="2">
        <v>0</v>
      </c>
      <c r="J71" s="2">
        <v>45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0</v>
      </c>
      <c r="R71" s="2">
        <v>0</v>
      </c>
      <c r="S71" s="6"/>
      <c r="T71" s="7"/>
      <c r="U71" s="3"/>
    </row>
    <row r="72" spans="1:21">
      <c r="A72" s="2">
        <v>71</v>
      </c>
      <c r="B72" s="2">
        <v>0</v>
      </c>
      <c r="C72" s="2">
        <v>49000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18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1</v>
      </c>
      <c r="Q72" s="2">
        <v>1</v>
      </c>
      <c r="R72" s="2">
        <v>0</v>
      </c>
      <c r="S72" s="6"/>
      <c r="T72" s="7"/>
      <c r="U72" s="3"/>
    </row>
    <row r="73" spans="1:21">
      <c r="A73" s="2">
        <v>72</v>
      </c>
      <c r="B73" s="2">
        <v>0</v>
      </c>
      <c r="C73" s="2">
        <v>5000</v>
      </c>
      <c r="D73" s="2">
        <v>1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18</v>
      </c>
      <c r="K73" s="2">
        <v>0</v>
      </c>
      <c r="L73" s="2">
        <v>1</v>
      </c>
      <c r="M73" s="2">
        <v>0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6"/>
      <c r="T73" s="7"/>
      <c r="U73" s="3"/>
    </row>
    <row r="74" spans="1:21">
      <c r="A74" s="2">
        <v>73</v>
      </c>
      <c r="B74" s="2">
        <v>0</v>
      </c>
      <c r="C74" s="2">
        <v>9000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13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  <c r="S74" s="6"/>
      <c r="T74" s="7"/>
      <c r="U74" s="3"/>
    </row>
    <row r="75" spans="1:21">
      <c r="A75" s="2">
        <v>74</v>
      </c>
      <c r="B75" s="2">
        <v>0</v>
      </c>
      <c r="C75" s="2">
        <v>75000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4</v>
      </c>
      <c r="K75" s="2">
        <v>0</v>
      </c>
      <c r="L75" s="2">
        <v>1</v>
      </c>
      <c r="M75" s="2">
        <v>0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6"/>
      <c r="T75" s="7"/>
      <c r="U75" s="3"/>
    </row>
    <row r="76" spans="1:21">
      <c r="A76" s="2">
        <v>75</v>
      </c>
      <c r="B76" s="2">
        <v>0</v>
      </c>
      <c r="C76" s="2">
        <v>9000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4</v>
      </c>
      <c r="K76" s="2">
        <v>0</v>
      </c>
      <c r="L76" s="2">
        <v>1</v>
      </c>
      <c r="M76" s="2">
        <v>0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 s="6"/>
      <c r="T76" s="7"/>
      <c r="U76" s="3"/>
    </row>
    <row r="77" spans="1:21">
      <c r="A77" s="2">
        <v>76</v>
      </c>
      <c r="B77" s="2">
        <v>0</v>
      </c>
      <c r="C77" s="2">
        <v>43000</v>
      </c>
      <c r="D77" s="2">
        <v>1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25</v>
      </c>
      <c r="K77" s="2">
        <v>0</v>
      </c>
      <c r="L77" s="2">
        <v>0</v>
      </c>
      <c r="M77" s="2">
        <v>0</v>
      </c>
      <c r="N77" s="2">
        <v>1</v>
      </c>
      <c r="O77" s="2">
        <v>1</v>
      </c>
      <c r="P77" s="2">
        <v>1</v>
      </c>
      <c r="Q77" s="2">
        <v>0</v>
      </c>
      <c r="R77" s="2">
        <v>1</v>
      </c>
      <c r="S77" s="6"/>
      <c r="T77" s="7"/>
      <c r="U77" s="3"/>
    </row>
    <row r="78" spans="1:21">
      <c r="A78" s="2">
        <v>77</v>
      </c>
      <c r="B78" s="2">
        <v>0</v>
      </c>
      <c r="C78" s="2">
        <v>30000</v>
      </c>
      <c r="D78" s="2">
        <v>1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1</v>
      </c>
      <c r="M78" s="2">
        <v>1</v>
      </c>
      <c r="N78" s="2">
        <v>1</v>
      </c>
      <c r="O78" s="2">
        <v>0</v>
      </c>
      <c r="P78" s="2">
        <v>1</v>
      </c>
      <c r="Q78" s="2">
        <v>0</v>
      </c>
      <c r="R78" s="2">
        <v>0</v>
      </c>
      <c r="S78" s="6"/>
      <c r="T78" s="7"/>
      <c r="U78" s="3"/>
    </row>
    <row r="79" spans="1:21">
      <c r="A79" s="2">
        <v>78</v>
      </c>
      <c r="B79" s="2">
        <v>0</v>
      </c>
      <c r="C79" s="2">
        <v>13000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20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1</v>
      </c>
      <c r="Q79" s="2">
        <v>0</v>
      </c>
      <c r="R79" s="2">
        <v>0</v>
      </c>
      <c r="S79" s="6"/>
      <c r="T79" s="7"/>
      <c r="U79" s="3"/>
    </row>
    <row r="80" spans="1:21">
      <c r="A80" s="2">
        <v>79</v>
      </c>
      <c r="B80" s="2">
        <v>0</v>
      </c>
      <c r="C80" s="2">
        <v>3000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9</v>
      </c>
      <c r="K80" s="2">
        <v>0</v>
      </c>
      <c r="L80" s="2">
        <v>1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6"/>
      <c r="T80" s="7"/>
      <c r="U80" s="3"/>
    </row>
    <row r="81" spans="1:21">
      <c r="A81" s="2">
        <v>80</v>
      </c>
      <c r="B81" s="2">
        <v>0</v>
      </c>
      <c r="C81" s="2">
        <v>28000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26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1</v>
      </c>
      <c r="Q81" s="2">
        <v>0</v>
      </c>
      <c r="R81" s="2">
        <v>0</v>
      </c>
      <c r="S81" s="6"/>
      <c r="T81" s="7"/>
      <c r="U81" s="3"/>
    </row>
    <row r="82" spans="1:21">
      <c r="A82" s="2">
        <v>81</v>
      </c>
      <c r="B82" s="2">
        <v>0</v>
      </c>
      <c r="C82" s="2">
        <v>44000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0</v>
      </c>
      <c r="S82" s="6"/>
      <c r="T82" s="7"/>
      <c r="U82" s="3"/>
    </row>
    <row r="83" spans="1:21">
      <c r="A83" s="2">
        <v>82</v>
      </c>
      <c r="B83" s="2">
        <v>1</v>
      </c>
      <c r="C83" s="2">
        <v>69000</v>
      </c>
      <c r="D83" s="2">
        <v>1</v>
      </c>
      <c r="E83" s="2">
        <v>1</v>
      </c>
      <c r="F83" s="2">
        <v>1</v>
      </c>
      <c r="G83" s="2">
        <v>1</v>
      </c>
      <c r="H83" s="2">
        <v>0</v>
      </c>
      <c r="I83" s="2">
        <v>0</v>
      </c>
      <c r="J83" s="2">
        <v>26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1</v>
      </c>
      <c r="Q83" s="2">
        <v>0</v>
      </c>
      <c r="R83" s="2">
        <v>0</v>
      </c>
      <c r="S83" s="6"/>
      <c r="T83" s="7"/>
      <c r="U83" s="3"/>
    </row>
    <row r="84" spans="1:21">
      <c r="A84" s="2">
        <v>83</v>
      </c>
      <c r="B84" s="2">
        <v>0</v>
      </c>
      <c r="C84" s="2">
        <v>3000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3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6"/>
      <c r="T84" s="7"/>
      <c r="U84" s="3"/>
    </row>
    <row r="85" spans="1:21">
      <c r="A85" s="2">
        <v>84</v>
      </c>
      <c r="B85" s="2">
        <v>0</v>
      </c>
      <c r="C85" s="2">
        <v>7000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16</v>
      </c>
      <c r="K85" s="2">
        <v>0</v>
      </c>
      <c r="L85" s="2">
        <v>1</v>
      </c>
      <c r="M85" s="2">
        <v>0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  <c r="S85" s="6"/>
      <c r="T85" s="7"/>
      <c r="U85" s="3"/>
    </row>
    <row r="86" spans="1:21">
      <c r="A86" s="2">
        <v>85</v>
      </c>
      <c r="B86" s="2">
        <v>0</v>
      </c>
      <c r="C86" s="2">
        <v>32000</v>
      </c>
      <c r="D86" s="2">
        <v>0</v>
      </c>
      <c r="E86" s="2">
        <v>1</v>
      </c>
      <c r="F86" s="2">
        <v>0</v>
      </c>
      <c r="G86" s="2">
        <v>1</v>
      </c>
      <c r="H86" s="2">
        <v>0</v>
      </c>
      <c r="I86" s="2">
        <v>0</v>
      </c>
      <c r="J86" s="2">
        <v>14</v>
      </c>
      <c r="K86" s="2">
        <v>1</v>
      </c>
      <c r="L86" s="2">
        <v>0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0</v>
      </c>
      <c r="S86" s="6"/>
      <c r="T86" s="7"/>
      <c r="U86" s="3"/>
    </row>
    <row r="87" spans="1:21">
      <c r="A87" s="2">
        <v>86</v>
      </c>
      <c r="B87" s="2">
        <v>0</v>
      </c>
      <c r="C87" s="2">
        <v>21000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33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  <c r="S87" s="6"/>
      <c r="T87" s="7"/>
      <c r="U87" s="3"/>
    </row>
    <row r="88" spans="1:21">
      <c r="A88" s="2">
        <v>87</v>
      </c>
      <c r="B88" s="2">
        <v>1</v>
      </c>
      <c r="C88" s="2">
        <v>75000</v>
      </c>
      <c r="D88" s="2">
        <v>1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60</v>
      </c>
      <c r="K88" s="2">
        <v>0</v>
      </c>
      <c r="L88" s="2">
        <v>0</v>
      </c>
      <c r="M88" s="2">
        <v>1</v>
      </c>
      <c r="N88" s="2">
        <v>0</v>
      </c>
      <c r="O88" s="2">
        <v>1</v>
      </c>
      <c r="P88" s="2">
        <v>1</v>
      </c>
      <c r="Q88" s="2">
        <v>0</v>
      </c>
      <c r="R88" s="2">
        <v>0</v>
      </c>
      <c r="S88" s="6"/>
      <c r="T88" s="7"/>
      <c r="U88" s="3"/>
    </row>
    <row r="89" spans="1:21">
      <c r="A89" s="2">
        <v>88</v>
      </c>
      <c r="B89" s="2">
        <v>0</v>
      </c>
      <c r="C89" s="2">
        <v>19000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1</v>
      </c>
      <c r="Q89" s="2">
        <v>0</v>
      </c>
      <c r="R89" s="2">
        <v>0</v>
      </c>
      <c r="S89" s="6"/>
      <c r="T89" s="7"/>
      <c r="U89" s="3"/>
    </row>
    <row r="90" spans="1:21">
      <c r="A90" s="2">
        <v>89</v>
      </c>
      <c r="B90" s="2">
        <v>0</v>
      </c>
      <c r="C90" s="2">
        <v>42000</v>
      </c>
      <c r="D90" s="2">
        <v>0</v>
      </c>
      <c r="E90" s="2">
        <v>0</v>
      </c>
      <c r="F90" s="2">
        <v>1</v>
      </c>
      <c r="G90" s="2">
        <v>1</v>
      </c>
      <c r="H90" s="2">
        <v>0</v>
      </c>
      <c r="I90" s="2">
        <v>0</v>
      </c>
      <c r="J90" s="2">
        <v>35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6"/>
      <c r="T90" s="7"/>
      <c r="U90" s="3"/>
    </row>
    <row r="91" spans="1:21">
      <c r="A91" s="2">
        <v>90</v>
      </c>
      <c r="B91" s="2">
        <v>0</v>
      </c>
      <c r="C91" s="2">
        <v>15000</v>
      </c>
      <c r="D91" s="2">
        <v>0</v>
      </c>
      <c r="E91" s="2">
        <v>0</v>
      </c>
      <c r="F91" s="2">
        <v>1</v>
      </c>
      <c r="G91" s="2">
        <v>1</v>
      </c>
      <c r="H91" s="2">
        <v>0</v>
      </c>
      <c r="I91" s="2">
        <v>0</v>
      </c>
      <c r="J91" s="2">
        <v>26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0</v>
      </c>
      <c r="R91" s="2">
        <v>0</v>
      </c>
      <c r="S91" s="6"/>
      <c r="T91" s="7"/>
      <c r="U91" s="3"/>
    </row>
    <row r="92" spans="1:21">
      <c r="A92" s="2">
        <v>91</v>
      </c>
      <c r="B92" s="2">
        <v>0</v>
      </c>
      <c r="C92" s="2">
        <v>6000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19</v>
      </c>
      <c r="K92" s="2">
        <v>0</v>
      </c>
      <c r="L92" s="2">
        <v>0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  <c r="R92" s="2">
        <v>0</v>
      </c>
      <c r="S92" s="6"/>
      <c r="T92" s="7"/>
      <c r="U92" s="3"/>
    </row>
    <row r="93" spans="1:21">
      <c r="A93" s="2">
        <v>92</v>
      </c>
      <c r="B93" s="2">
        <v>1</v>
      </c>
      <c r="C93" s="2">
        <v>73000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42</v>
      </c>
      <c r="K93" s="2">
        <v>0</v>
      </c>
      <c r="L93" s="2">
        <v>1</v>
      </c>
      <c r="M93" s="2">
        <v>0</v>
      </c>
      <c r="N93" s="2">
        <v>1</v>
      </c>
      <c r="O93" s="2">
        <v>1</v>
      </c>
      <c r="P93" s="2">
        <v>1</v>
      </c>
      <c r="Q93" s="2">
        <v>0</v>
      </c>
      <c r="R93" s="2">
        <v>0</v>
      </c>
      <c r="S93" s="6"/>
      <c r="T93" s="7"/>
      <c r="U93" s="3"/>
    </row>
    <row r="94" spans="1:21">
      <c r="A94" s="2">
        <v>93</v>
      </c>
      <c r="B94" s="2">
        <v>1</v>
      </c>
      <c r="C94" s="2">
        <v>75000</v>
      </c>
      <c r="D94" s="2">
        <v>1</v>
      </c>
      <c r="E94" s="2">
        <v>1</v>
      </c>
      <c r="F94" s="2">
        <v>1</v>
      </c>
      <c r="G94" s="2">
        <v>1</v>
      </c>
      <c r="H94" s="2">
        <v>0</v>
      </c>
      <c r="I94" s="2">
        <v>0</v>
      </c>
      <c r="J94" s="2">
        <v>25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  <c r="R94" s="2">
        <v>0</v>
      </c>
      <c r="S94" s="6"/>
      <c r="T94" s="7"/>
      <c r="U94" s="3"/>
    </row>
    <row r="95" spans="1:21">
      <c r="A95" s="2">
        <v>94</v>
      </c>
      <c r="B95" s="2">
        <v>0</v>
      </c>
      <c r="C95" s="2">
        <v>25000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28</v>
      </c>
      <c r="K95" s="2">
        <v>0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  <c r="S95" s="6"/>
      <c r="T95" s="7"/>
      <c r="U95" s="3"/>
    </row>
    <row r="96" spans="1:21">
      <c r="A96" s="2">
        <v>95</v>
      </c>
      <c r="B96" s="2">
        <v>0</v>
      </c>
      <c r="C96" s="2">
        <v>8000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12</v>
      </c>
      <c r="K96" s="2">
        <v>0</v>
      </c>
      <c r="L96" s="2">
        <v>1</v>
      </c>
      <c r="M96" s="2">
        <v>0</v>
      </c>
      <c r="N96" s="2">
        <v>1</v>
      </c>
      <c r="O96" s="2">
        <v>1</v>
      </c>
      <c r="P96" s="2">
        <v>1</v>
      </c>
      <c r="Q96" s="2">
        <v>0</v>
      </c>
      <c r="R96" s="2">
        <v>0</v>
      </c>
      <c r="S96" s="6"/>
      <c r="T96" s="7"/>
      <c r="U96" s="3"/>
    </row>
    <row r="97" spans="1:21">
      <c r="A97" s="2">
        <v>96</v>
      </c>
      <c r="B97" s="2">
        <v>1</v>
      </c>
      <c r="C97" s="2">
        <v>75000</v>
      </c>
      <c r="D97" s="2">
        <v>0</v>
      </c>
      <c r="E97" s="2">
        <v>1</v>
      </c>
      <c r="F97" s="2">
        <v>1</v>
      </c>
      <c r="G97" s="2">
        <v>1</v>
      </c>
      <c r="H97" s="2">
        <v>0</v>
      </c>
      <c r="I97" s="2">
        <v>0</v>
      </c>
      <c r="J97" s="2">
        <v>25</v>
      </c>
      <c r="K97" s="2">
        <v>1</v>
      </c>
      <c r="L97" s="2">
        <v>0</v>
      </c>
      <c r="M97" s="2">
        <v>1</v>
      </c>
      <c r="N97" s="2">
        <v>1</v>
      </c>
      <c r="O97" s="2">
        <v>1</v>
      </c>
      <c r="P97" s="2">
        <v>1</v>
      </c>
      <c r="Q97" s="2">
        <v>0</v>
      </c>
      <c r="R97" s="2">
        <v>0</v>
      </c>
      <c r="S97" s="6"/>
      <c r="T97" s="7"/>
      <c r="U97" s="3"/>
    </row>
    <row r="98" spans="1:21">
      <c r="A98" s="2">
        <v>97</v>
      </c>
      <c r="B98" s="2">
        <v>0</v>
      </c>
      <c r="C98" s="2">
        <v>44000</v>
      </c>
      <c r="D98" s="2">
        <v>1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36</v>
      </c>
      <c r="K98" s="2">
        <v>1</v>
      </c>
      <c r="L98" s="2">
        <v>1</v>
      </c>
      <c r="M98" s="2">
        <v>1</v>
      </c>
      <c r="N98" s="2">
        <v>0</v>
      </c>
      <c r="O98" s="2">
        <v>0</v>
      </c>
      <c r="P98" s="2">
        <v>1</v>
      </c>
      <c r="Q98" s="2">
        <v>0</v>
      </c>
      <c r="R98" s="2">
        <v>0</v>
      </c>
      <c r="S98" s="6"/>
      <c r="T98" s="7"/>
      <c r="U98" s="3"/>
    </row>
    <row r="99" spans="1:21">
      <c r="A99" s="2">
        <v>98</v>
      </c>
      <c r="B99" s="2">
        <v>0</v>
      </c>
      <c r="C99" s="2">
        <v>27000</v>
      </c>
      <c r="D99" s="2">
        <v>0</v>
      </c>
      <c r="E99" s="2">
        <v>1</v>
      </c>
      <c r="F99" s="2">
        <v>1</v>
      </c>
      <c r="G99" s="2">
        <v>1</v>
      </c>
      <c r="H99" s="2">
        <v>0</v>
      </c>
      <c r="I99" s="2">
        <v>0</v>
      </c>
      <c r="J99" s="2">
        <v>18</v>
      </c>
      <c r="K99" s="2">
        <v>1</v>
      </c>
      <c r="L99" s="2">
        <v>0</v>
      </c>
      <c r="M99" s="2">
        <v>0</v>
      </c>
      <c r="N99" s="2">
        <v>1</v>
      </c>
      <c r="O99" s="2">
        <v>1</v>
      </c>
      <c r="P99" s="2">
        <v>1</v>
      </c>
      <c r="Q99" s="2">
        <v>1</v>
      </c>
      <c r="R99" s="2">
        <v>0</v>
      </c>
      <c r="S99" s="6"/>
      <c r="T99" s="7"/>
      <c r="U99" s="3"/>
    </row>
    <row r="100" spans="1:21">
      <c r="A100" s="2">
        <v>99</v>
      </c>
      <c r="B100" s="2">
        <v>0</v>
      </c>
      <c r="C100" s="2">
        <v>7000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16</v>
      </c>
      <c r="K100" s="2">
        <v>0</v>
      </c>
      <c r="L100" s="2">
        <v>1</v>
      </c>
      <c r="M100" s="2">
        <v>0</v>
      </c>
      <c r="N100" s="2">
        <v>1</v>
      </c>
      <c r="O100" s="2">
        <v>1</v>
      </c>
      <c r="P100" s="2">
        <v>1</v>
      </c>
      <c r="Q100" s="2">
        <v>0</v>
      </c>
      <c r="R100" s="2">
        <v>1</v>
      </c>
      <c r="S100" s="6"/>
      <c r="T100" s="7"/>
      <c r="U100" s="3"/>
    </row>
    <row r="101" spans="1:21">
      <c r="A101" s="2">
        <v>100</v>
      </c>
      <c r="B101" s="2">
        <v>0</v>
      </c>
      <c r="C101" s="2">
        <v>61000</v>
      </c>
      <c r="D101" s="2">
        <v>0</v>
      </c>
      <c r="E101" s="2">
        <v>1</v>
      </c>
      <c r="F101" s="2">
        <v>0</v>
      </c>
      <c r="G101" s="2">
        <v>1</v>
      </c>
      <c r="H101" s="2">
        <v>0</v>
      </c>
      <c r="I101" s="2">
        <v>0</v>
      </c>
      <c r="J101" s="2">
        <v>5</v>
      </c>
      <c r="K101" s="2">
        <v>1</v>
      </c>
      <c r="L101" s="2">
        <v>1</v>
      </c>
      <c r="M101" s="2">
        <v>0</v>
      </c>
      <c r="N101" s="2">
        <v>0</v>
      </c>
      <c r="O101" s="2">
        <v>1</v>
      </c>
      <c r="P101" s="2">
        <v>1</v>
      </c>
      <c r="Q101" s="2">
        <v>1</v>
      </c>
      <c r="R101" s="2">
        <v>0</v>
      </c>
      <c r="S101" s="6"/>
      <c r="T101" s="7"/>
      <c r="U101" s="3"/>
    </row>
    <row r="102" spans="1:21">
      <c r="A102" s="2">
        <v>101</v>
      </c>
      <c r="B102" s="2">
        <v>0</v>
      </c>
      <c r="C102" s="2">
        <v>70000</v>
      </c>
      <c r="D102" s="2">
        <v>0</v>
      </c>
      <c r="E102" s="2">
        <v>1</v>
      </c>
      <c r="F102" s="2">
        <v>0</v>
      </c>
      <c r="G102" s="2">
        <v>0</v>
      </c>
      <c r="H102" s="2">
        <v>1</v>
      </c>
      <c r="I102" s="2">
        <v>0</v>
      </c>
      <c r="J102" s="2">
        <v>57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6"/>
      <c r="T102" s="7"/>
      <c r="U102" s="3"/>
    </row>
    <row r="103" spans="1:21">
      <c r="A103" s="2">
        <v>102</v>
      </c>
      <c r="B103" s="2">
        <v>1</v>
      </c>
      <c r="C103" s="2">
        <v>70000</v>
      </c>
      <c r="D103" s="2">
        <v>0</v>
      </c>
      <c r="E103" s="2">
        <v>1</v>
      </c>
      <c r="F103" s="2">
        <v>0</v>
      </c>
      <c r="G103" s="2">
        <v>1</v>
      </c>
      <c r="H103" s="2">
        <v>0</v>
      </c>
      <c r="I103" s="2">
        <v>0</v>
      </c>
      <c r="J103" s="2">
        <v>8</v>
      </c>
      <c r="K103" s="2">
        <v>0</v>
      </c>
      <c r="L103" s="2">
        <v>1</v>
      </c>
      <c r="M103" s="2">
        <v>0</v>
      </c>
      <c r="N103" s="2">
        <v>1</v>
      </c>
      <c r="O103" s="2">
        <v>1</v>
      </c>
      <c r="P103" s="2">
        <v>1</v>
      </c>
      <c r="Q103" s="2">
        <v>0</v>
      </c>
      <c r="R103" s="2">
        <v>0</v>
      </c>
      <c r="S103" s="6"/>
      <c r="T103" s="7"/>
      <c r="U103" s="3"/>
    </row>
    <row r="104" spans="1:21">
      <c r="A104" s="2">
        <v>103</v>
      </c>
      <c r="B104" s="2">
        <v>0</v>
      </c>
      <c r="C104" s="2">
        <v>1000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15</v>
      </c>
      <c r="K104" s="2">
        <v>0</v>
      </c>
      <c r="L104" s="2">
        <v>1</v>
      </c>
      <c r="M104" s="2">
        <v>0</v>
      </c>
      <c r="N104" s="2">
        <v>1</v>
      </c>
      <c r="O104" s="2">
        <v>1</v>
      </c>
      <c r="P104" s="2">
        <v>1</v>
      </c>
      <c r="Q104" s="2">
        <v>0</v>
      </c>
      <c r="R104" s="2">
        <v>0</v>
      </c>
      <c r="S104" s="6"/>
      <c r="T104" s="7"/>
      <c r="U104" s="3"/>
    </row>
    <row r="105" spans="1:21">
      <c r="A105" s="2">
        <v>104</v>
      </c>
      <c r="B105" s="2">
        <v>0</v>
      </c>
      <c r="C105" s="2">
        <v>22000</v>
      </c>
      <c r="D105" s="2">
        <v>1</v>
      </c>
      <c r="E105" s="2">
        <v>0</v>
      </c>
      <c r="F105" s="2">
        <v>1</v>
      </c>
      <c r="G105" s="2">
        <v>1</v>
      </c>
      <c r="H105" s="2">
        <v>0</v>
      </c>
      <c r="I105" s="2">
        <v>0</v>
      </c>
      <c r="J105" s="2">
        <v>4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  <c r="P105" s="2">
        <v>1</v>
      </c>
      <c r="Q105" s="2">
        <v>0</v>
      </c>
      <c r="R105" s="2">
        <v>0</v>
      </c>
      <c r="S105" s="6"/>
      <c r="T105" s="7"/>
      <c r="U105" s="3"/>
    </row>
    <row r="106" spans="1:21">
      <c r="A106" s="2">
        <v>105</v>
      </c>
      <c r="B106" s="2">
        <v>0</v>
      </c>
      <c r="C106" s="2">
        <v>23000</v>
      </c>
      <c r="D106" s="2">
        <v>1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33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1</v>
      </c>
      <c r="Q106" s="2">
        <v>0</v>
      </c>
      <c r="R106" s="2">
        <v>0</v>
      </c>
      <c r="S106" s="6"/>
      <c r="T106" s="7"/>
      <c r="U106" s="3"/>
    </row>
    <row r="107" spans="1:21">
      <c r="A107" s="2">
        <v>106</v>
      </c>
      <c r="B107" s="2">
        <v>1</v>
      </c>
      <c r="C107" s="2">
        <v>61000</v>
      </c>
      <c r="D107" s="2">
        <v>1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28</v>
      </c>
      <c r="K107" s="2">
        <v>1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0</v>
      </c>
      <c r="S107" s="6"/>
      <c r="T107" s="7"/>
      <c r="U107" s="3"/>
    </row>
    <row r="108" spans="1:21">
      <c r="A108" s="2">
        <v>107</v>
      </c>
      <c r="B108" s="2">
        <v>0</v>
      </c>
      <c r="C108" s="2">
        <v>75000</v>
      </c>
      <c r="D108" s="2">
        <v>0</v>
      </c>
      <c r="E108" s="2">
        <v>0</v>
      </c>
      <c r="F108" s="2">
        <v>1</v>
      </c>
      <c r="G108" s="2">
        <v>1</v>
      </c>
      <c r="H108" s="2">
        <v>0</v>
      </c>
      <c r="I108" s="2">
        <v>0</v>
      </c>
      <c r="J108" s="2">
        <v>28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6"/>
      <c r="T108" s="7"/>
      <c r="U108" s="3"/>
    </row>
    <row r="109" spans="1:21">
      <c r="A109" s="2">
        <v>108</v>
      </c>
      <c r="B109" s="2">
        <v>0</v>
      </c>
      <c r="C109" s="2">
        <v>46000</v>
      </c>
      <c r="D109" s="2">
        <v>1</v>
      </c>
      <c r="E109" s="2">
        <v>0</v>
      </c>
      <c r="F109" s="2">
        <v>1</v>
      </c>
      <c r="G109" s="2">
        <v>1</v>
      </c>
      <c r="H109" s="2">
        <v>0</v>
      </c>
      <c r="I109" s="2">
        <v>0</v>
      </c>
      <c r="J109" s="2">
        <v>36</v>
      </c>
      <c r="K109" s="2">
        <v>0</v>
      </c>
      <c r="L109" s="2">
        <v>0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6"/>
      <c r="T109" s="7"/>
      <c r="U109" s="3"/>
    </row>
    <row r="110" spans="1:21">
      <c r="A110" s="2">
        <v>109</v>
      </c>
      <c r="B110" s="2">
        <v>0</v>
      </c>
      <c r="C110" s="2">
        <v>49000</v>
      </c>
      <c r="D110" s="2">
        <v>0</v>
      </c>
      <c r="E110" s="2">
        <v>0</v>
      </c>
      <c r="F110" s="2">
        <v>1</v>
      </c>
      <c r="G110" s="2">
        <v>0</v>
      </c>
      <c r="H110" s="2">
        <v>0</v>
      </c>
      <c r="I110" s="2">
        <v>0</v>
      </c>
      <c r="J110" s="2">
        <v>18</v>
      </c>
      <c r="K110" s="2">
        <v>0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6"/>
      <c r="T110" s="7"/>
      <c r="U110" s="3"/>
    </row>
    <row r="111" spans="1:21">
      <c r="A111" s="2">
        <v>110</v>
      </c>
      <c r="B111" s="2">
        <v>0</v>
      </c>
      <c r="C111" s="2">
        <v>23000</v>
      </c>
      <c r="D111" s="2">
        <v>0</v>
      </c>
      <c r="E111" s="2">
        <v>0</v>
      </c>
      <c r="F111" s="2">
        <v>1</v>
      </c>
      <c r="G111" s="2">
        <v>1</v>
      </c>
      <c r="H111" s="2">
        <v>0</v>
      </c>
      <c r="I111" s="2">
        <v>0</v>
      </c>
      <c r="J111" s="2">
        <v>6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1</v>
      </c>
      <c r="Q111" s="2">
        <v>0</v>
      </c>
      <c r="R111" s="2">
        <v>0</v>
      </c>
      <c r="S111" s="6"/>
      <c r="T111" s="7"/>
      <c r="U111" s="3"/>
    </row>
    <row r="112" spans="1:21">
      <c r="A112" s="2">
        <v>111</v>
      </c>
      <c r="B112" s="2">
        <v>1</v>
      </c>
      <c r="C112" s="2">
        <v>59000</v>
      </c>
      <c r="D112" s="2">
        <v>1</v>
      </c>
      <c r="E112" s="2">
        <v>1</v>
      </c>
      <c r="F112" s="2">
        <v>1</v>
      </c>
      <c r="G112" s="2">
        <v>1</v>
      </c>
      <c r="H112" s="2">
        <v>0</v>
      </c>
      <c r="I112" s="2">
        <v>0</v>
      </c>
      <c r="J112" s="2">
        <v>41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0</v>
      </c>
      <c r="R112" s="2">
        <v>1</v>
      </c>
      <c r="S112" s="6"/>
      <c r="T112" s="7"/>
      <c r="U112" s="3"/>
    </row>
    <row r="113" spans="1:21">
      <c r="A113" s="2">
        <v>112</v>
      </c>
      <c r="B113" s="2">
        <v>0</v>
      </c>
      <c r="C113" s="2">
        <v>30000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0</v>
      </c>
      <c r="R113" s="2">
        <v>0</v>
      </c>
      <c r="S113" s="6"/>
      <c r="T113" s="7"/>
      <c r="U113" s="3"/>
    </row>
    <row r="114" spans="1:21">
      <c r="A114" s="2">
        <v>113</v>
      </c>
      <c r="B114" s="2">
        <v>0</v>
      </c>
      <c r="C114" s="2">
        <v>38000</v>
      </c>
      <c r="D114" s="2">
        <v>0</v>
      </c>
      <c r="E114" s="2">
        <v>1</v>
      </c>
      <c r="F114" s="2">
        <v>0</v>
      </c>
      <c r="G114" s="2">
        <v>0</v>
      </c>
      <c r="H114" s="2">
        <v>1</v>
      </c>
      <c r="I114" s="2">
        <v>0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1</v>
      </c>
      <c r="Q114" s="2">
        <v>0</v>
      </c>
      <c r="R114" s="2">
        <v>0</v>
      </c>
      <c r="S114" s="6"/>
      <c r="T114" s="7"/>
      <c r="U114" s="3"/>
    </row>
    <row r="115" spans="1:21">
      <c r="A115" s="2">
        <v>114</v>
      </c>
      <c r="B115" s="2">
        <v>0</v>
      </c>
      <c r="C115" s="2">
        <v>9000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</v>
      </c>
      <c r="K115" s="2">
        <v>0</v>
      </c>
      <c r="L115" s="2">
        <v>1</v>
      </c>
      <c r="M115" s="2">
        <v>0</v>
      </c>
      <c r="N115" s="2">
        <v>1</v>
      </c>
      <c r="O115" s="2">
        <v>1</v>
      </c>
      <c r="P115" s="2">
        <v>1</v>
      </c>
      <c r="Q115" s="2">
        <v>0</v>
      </c>
      <c r="R115" s="2">
        <v>0</v>
      </c>
      <c r="S115" s="6"/>
      <c r="T115" s="7"/>
      <c r="U115" s="3"/>
    </row>
    <row r="116" spans="1:21">
      <c r="A116" s="2">
        <v>115</v>
      </c>
      <c r="B116" s="2">
        <v>0</v>
      </c>
      <c r="C116" s="2">
        <v>21000</v>
      </c>
      <c r="D116" s="2">
        <v>1</v>
      </c>
      <c r="E116" s="2">
        <v>1</v>
      </c>
      <c r="F116" s="2">
        <v>0</v>
      </c>
      <c r="G116" s="2">
        <v>1</v>
      </c>
      <c r="H116" s="2">
        <v>0</v>
      </c>
      <c r="I116" s="2">
        <v>0</v>
      </c>
      <c r="J116" s="2">
        <v>52</v>
      </c>
      <c r="K116" s="2">
        <v>1</v>
      </c>
      <c r="L116" s="2">
        <v>0</v>
      </c>
      <c r="M116" s="2">
        <v>0</v>
      </c>
      <c r="N116" s="2">
        <v>1</v>
      </c>
      <c r="O116" s="2">
        <v>0</v>
      </c>
      <c r="P116" s="2">
        <v>1</v>
      </c>
      <c r="Q116" s="2">
        <v>0</v>
      </c>
      <c r="R116" s="2">
        <v>0</v>
      </c>
      <c r="S116" s="6"/>
      <c r="T116" s="7"/>
      <c r="U116" s="3"/>
    </row>
    <row r="117" spans="1:21">
      <c r="A117" s="2">
        <v>116</v>
      </c>
      <c r="B117" s="2">
        <v>0</v>
      </c>
      <c r="C117" s="2">
        <v>49000</v>
      </c>
      <c r="D117" s="2">
        <v>1</v>
      </c>
      <c r="E117" s="2">
        <v>0</v>
      </c>
      <c r="F117" s="2">
        <v>0</v>
      </c>
      <c r="G117" s="2">
        <v>1</v>
      </c>
      <c r="H117" s="2">
        <v>0</v>
      </c>
      <c r="I117" s="2">
        <v>0</v>
      </c>
      <c r="J117" s="2">
        <v>24</v>
      </c>
      <c r="K117" s="2">
        <v>0</v>
      </c>
      <c r="L117" s="2">
        <v>0</v>
      </c>
      <c r="M117" s="2">
        <v>1</v>
      </c>
      <c r="N117" s="2">
        <v>0</v>
      </c>
      <c r="O117" s="2">
        <v>1</v>
      </c>
      <c r="P117" s="2">
        <v>1</v>
      </c>
      <c r="Q117" s="2">
        <v>0</v>
      </c>
      <c r="R117" s="2">
        <v>0</v>
      </c>
      <c r="S117" s="6"/>
      <c r="T117" s="7"/>
      <c r="U117" s="3"/>
    </row>
    <row r="118" spans="1:21">
      <c r="A118" s="2">
        <v>117</v>
      </c>
      <c r="B118" s="2">
        <v>0</v>
      </c>
      <c r="C118" s="2">
        <v>61000</v>
      </c>
      <c r="D118" s="2">
        <v>1</v>
      </c>
      <c r="E118" s="2">
        <v>1</v>
      </c>
      <c r="F118" s="2">
        <v>1</v>
      </c>
      <c r="G118" s="2">
        <v>1</v>
      </c>
      <c r="H118" s="2">
        <v>0</v>
      </c>
      <c r="I118" s="2">
        <v>0</v>
      </c>
      <c r="J118" s="2">
        <v>33</v>
      </c>
      <c r="K118" s="2">
        <v>1</v>
      </c>
      <c r="L118" s="2">
        <v>0</v>
      </c>
      <c r="M118" s="2">
        <v>1</v>
      </c>
      <c r="N118" s="2">
        <v>1</v>
      </c>
      <c r="O118" s="2">
        <v>0</v>
      </c>
      <c r="P118" s="2">
        <v>1</v>
      </c>
      <c r="Q118" s="2">
        <v>0</v>
      </c>
      <c r="R118" s="2">
        <v>0</v>
      </c>
      <c r="S118" s="6"/>
      <c r="T118" s="7"/>
      <c r="U118" s="3"/>
    </row>
    <row r="119" spans="1:21">
      <c r="A119" s="2">
        <v>118</v>
      </c>
      <c r="B119" s="2">
        <v>0</v>
      </c>
      <c r="C119" s="2">
        <v>14000</v>
      </c>
      <c r="D119" s="2">
        <v>1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44</v>
      </c>
      <c r="K119" s="2">
        <v>0</v>
      </c>
      <c r="L119" s="2">
        <v>0</v>
      </c>
      <c r="M119" s="2">
        <v>1</v>
      </c>
      <c r="N119" s="2">
        <v>1</v>
      </c>
      <c r="O119" s="2">
        <v>1</v>
      </c>
      <c r="P119" s="2">
        <v>1</v>
      </c>
      <c r="Q119" s="2">
        <v>0</v>
      </c>
      <c r="R119" s="2">
        <v>1</v>
      </c>
      <c r="S119" s="6"/>
      <c r="T119" s="7"/>
      <c r="U119" s="3"/>
    </row>
    <row r="120" spans="1:21">
      <c r="A120" s="2">
        <v>119</v>
      </c>
      <c r="B120" s="2">
        <v>1</v>
      </c>
      <c r="C120" s="2">
        <v>75000</v>
      </c>
      <c r="D120" s="2">
        <v>0</v>
      </c>
      <c r="E120" s="2">
        <v>1</v>
      </c>
      <c r="F120" s="2">
        <v>1</v>
      </c>
      <c r="G120" s="2">
        <v>1</v>
      </c>
      <c r="H120" s="2">
        <v>0</v>
      </c>
      <c r="I120" s="2">
        <v>0</v>
      </c>
      <c r="J120" s="2">
        <v>45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0</v>
      </c>
      <c r="R120" s="2">
        <v>0</v>
      </c>
      <c r="S120" s="6"/>
      <c r="T120" s="7"/>
      <c r="U120" s="3"/>
    </row>
    <row r="121" spans="1:21">
      <c r="A121" s="2">
        <v>120</v>
      </c>
      <c r="B121" s="2">
        <v>0</v>
      </c>
      <c r="C121" s="2">
        <v>40000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13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0</v>
      </c>
      <c r="S121" s="6"/>
      <c r="T121" s="7"/>
      <c r="U121" s="3"/>
    </row>
    <row r="122" spans="1:21">
      <c r="A122" s="2">
        <v>121</v>
      </c>
      <c r="B122" s="2">
        <v>1</v>
      </c>
      <c r="C122" s="2">
        <v>59000</v>
      </c>
      <c r="D122" s="2">
        <v>1</v>
      </c>
      <c r="E122" s="2">
        <v>1</v>
      </c>
      <c r="F122" s="2">
        <v>0</v>
      </c>
      <c r="G122" s="2">
        <v>1</v>
      </c>
      <c r="H122" s="2">
        <v>0</v>
      </c>
      <c r="I122" s="2">
        <v>0</v>
      </c>
      <c r="J122" s="2">
        <v>24</v>
      </c>
      <c r="K122" s="2">
        <v>1</v>
      </c>
      <c r="L122" s="2">
        <v>0</v>
      </c>
      <c r="M122" s="2">
        <v>1</v>
      </c>
      <c r="N122" s="2">
        <v>1</v>
      </c>
      <c r="O122" s="2">
        <v>1</v>
      </c>
      <c r="P122" s="2">
        <v>1</v>
      </c>
      <c r="Q122" s="2">
        <v>0</v>
      </c>
      <c r="R122" s="2">
        <v>0</v>
      </c>
      <c r="S122" s="6"/>
      <c r="T122" s="7"/>
      <c r="U122" s="3"/>
    </row>
    <row r="123" spans="1:21">
      <c r="A123" s="2">
        <v>122</v>
      </c>
      <c r="B123" s="2">
        <v>1</v>
      </c>
      <c r="C123" s="2">
        <v>75000</v>
      </c>
      <c r="D123" s="2">
        <v>1</v>
      </c>
      <c r="E123" s="2">
        <v>1</v>
      </c>
      <c r="F123" s="2">
        <v>1</v>
      </c>
      <c r="G123" s="2">
        <v>1</v>
      </c>
      <c r="H123" s="2">
        <v>0</v>
      </c>
      <c r="I123" s="2">
        <v>0</v>
      </c>
      <c r="J123" s="2">
        <v>11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6"/>
      <c r="T123" s="7"/>
      <c r="U123" s="3"/>
    </row>
    <row r="124" spans="1:21">
      <c r="A124" s="2">
        <v>123</v>
      </c>
      <c r="B124" s="2">
        <v>1</v>
      </c>
      <c r="C124" s="2">
        <v>57000</v>
      </c>
      <c r="D124" s="2">
        <v>1</v>
      </c>
      <c r="E124" s="2">
        <v>1</v>
      </c>
      <c r="F124" s="2">
        <v>1</v>
      </c>
      <c r="G124" s="2">
        <v>1</v>
      </c>
      <c r="H124" s="2">
        <v>0</v>
      </c>
      <c r="I124" s="2">
        <v>0</v>
      </c>
      <c r="J124" s="2">
        <v>21</v>
      </c>
      <c r="K124" s="2">
        <v>1</v>
      </c>
      <c r="L124" s="2">
        <v>0</v>
      </c>
      <c r="M124" s="2">
        <v>0</v>
      </c>
      <c r="N124" s="2">
        <v>0</v>
      </c>
      <c r="O124" s="2">
        <v>1</v>
      </c>
      <c r="P124" s="2">
        <v>1</v>
      </c>
      <c r="Q124" s="2">
        <v>0</v>
      </c>
      <c r="R124" s="2">
        <v>0</v>
      </c>
      <c r="S124" s="6"/>
      <c r="T124" s="7"/>
      <c r="U124" s="3"/>
    </row>
    <row r="125" spans="1:21">
      <c r="A125" s="2">
        <v>124</v>
      </c>
      <c r="B125" s="2">
        <v>0</v>
      </c>
      <c r="C125" s="2">
        <v>23000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12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6"/>
      <c r="T125" s="7"/>
      <c r="U125" s="3"/>
    </row>
    <row r="126" spans="1:21">
      <c r="A126" s="2">
        <v>125</v>
      </c>
      <c r="B126" s="2">
        <v>1</v>
      </c>
      <c r="C126" s="2">
        <v>73000</v>
      </c>
      <c r="D126" s="2">
        <v>1</v>
      </c>
      <c r="E126" s="2">
        <v>1</v>
      </c>
      <c r="F126" s="2">
        <v>0</v>
      </c>
      <c r="G126" s="2">
        <v>0</v>
      </c>
      <c r="H126" s="2">
        <v>1</v>
      </c>
      <c r="I126" s="2">
        <v>0</v>
      </c>
      <c r="J126" s="2">
        <v>25</v>
      </c>
      <c r="K126" s="2">
        <v>0</v>
      </c>
      <c r="L126" s="2">
        <v>0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0</v>
      </c>
      <c r="S126" s="6"/>
      <c r="T126" s="7"/>
      <c r="U126" s="3"/>
    </row>
    <row r="127" spans="1:21">
      <c r="A127" s="2">
        <v>126</v>
      </c>
      <c r="B127" s="2">
        <v>0</v>
      </c>
      <c r="C127" s="2">
        <v>43000</v>
      </c>
      <c r="D127" s="2">
        <v>1</v>
      </c>
      <c r="E127" s="2">
        <v>0</v>
      </c>
      <c r="F127" s="2">
        <v>1</v>
      </c>
      <c r="G127" s="2">
        <v>1</v>
      </c>
      <c r="H127" s="2">
        <v>0</v>
      </c>
      <c r="I127" s="2">
        <v>0</v>
      </c>
      <c r="J127" s="2">
        <v>36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1</v>
      </c>
      <c r="Q127" s="2">
        <v>0</v>
      </c>
      <c r="R127" s="2">
        <v>1</v>
      </c>
      <c r="S127" s="6"/>
      <c r="T127" s="7"/>
      <c r="U127" s="3"/>
    </row>
    <row r="128" spans="1:21">
      <c r="A128" s="2">
        <v>127</v>
      </c>
      <c r="B128" s="2">
        <v>0</v>
      </c>
      <c r="C128" s="2">
        <v>30000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35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  <c r="S128" s="6"/>
      <c r="T128" s="7"/>
      <c r="U128" s="3"/>
    </row>
    <row r="129" spans="1:21">
      <c r="A129" s="2">
        <v>128</v>
      </c>
      <c r="B129" s="2">
        <v>1</v>
      </c>
      <c r="C129" s="2">
        <v>75000</v>
      </c>
      <c r="D129" s="2">
        <v>0</v>
      </c>
      <c r="E129" s="2">
        <v>0</v>
      </c>
      <c r="F129" s="2">
        <v>1</v>
      </c>
      <c r="G129" s="2">
        <v>1</v>
      </c>
      <c r="H129" s="2">
        <v>0</v>
      </c>
      <c r="I129" s="2">
        <v>0</v>
      </c>
      <c r="J129" s="2">
        <v>9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1</v>
      </c>
      <c r="Q129" s="2">
        <v>0</v>
      </c>
      <c r="R129" s="2">
        <v>0</v>
      </c>
      <c r="S129" s="6"/>
      <c r="T129" s="7"/>
      <c r="U129" s="3"/>
    </row>
    <row r="130" spans="1:21">
      <c r="A130" s="2">
        <v>129</v>
      </c>
      <c r="B130" s="2">
        <v>1</v>
      </c>
      <c r="C130" s="2">
        <v>75000</v>
      </c>
      <c r="D130" s="2">
        <v>1</v>
      </c>
      <c r="E130" s="2">
        <v>0</v>
      </c>
      <c r="F130" s="2">
        <v>1</v>
      </c>
      <c r="G130" s="2">
        <v>1</v>
      </c>
      <c r="H130" s="2">
        <v>0</v>
      </c>
      <c r="I130" s="2">
        <v>0</v>
      </c>
      <c r="J130" s="2">
        <v>3</v>
      </c>
      <c r="K130" s="2">
        <v>1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  <c r="S130" s="6"/>
      <c r="T130" s="7"/>
      <c r="U130" s="3"/>
    </row>
    <row r="131" spans="1:21">
      <c r="A131" s="2">
        <v>130</v>
      </c>
      <c r="B131" s="2">
        <v>0</v>
      </c>
      <c r="C131" s="2">
        <v>41000</v>
      </c>
      <c r="D131" s="2">
        <v>0</v>
      </c>
      <c r="E131" s="2">
        <v>1</v>
      </c>
      <c r="F131" s="2">
        <v>0</v>
      </c>
      <c r="G131" s="2">
        <v>1</v>
      </c>
      <c r="H131" s="2">
        <v>0</v>
      </c>
      <c r="I131" s="2">
        <v>0</v>
      </c>
      <c r="J131" s="2">
        <v>15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0</v>
      </c>
      <c r="R131" s="2">
        <v>0</v>
      </c>
      <c r="S131" s="6"/>
      <c r="T131" s="7"/>
      <c r="U131" s="3"/>
    </row>
    <row r="132" spans="1:21">
      <c r="A132" s="2">
        <v>131</v>
      </c>
      <c r="B132" s="2">
        <v>0</v>
      </c>
      <c r="C132" s="2">
        <v>6000</v>
      </c>
      <c r="D132" s="2">
        <v>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2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1</v>
      </c>
      <c r="R132" s="2">
        <v>0</v>
      </c>
      <c r="S132" s="6"/>
      <c r="T132" s="7"/>
      <c r="U132" s="3"/>
    </row>
    <row r="133" spans="1:21">
      <c r="A133" s="2">
        <v>132</v>
      </c>
      <c r="B133" s="2">
        <v>1</v>
      </c>
      <c r="C133" s="2">
        <v>75000</v>
      </c>
      <c r="D133" s="2">
        <v>1</v>
      </c>
      <c r="E133" s="2">
        <v>0</v>
      </c>
      <c r="F133" s="2">
        <v>1</v>
      </c>
      <c r="G133" s="2">
        <v>1</v>
      </c>
      <c r="H133" s="2">
        <v>0</v>
      </c>
      <c r="I133" s="2">
        <v>0</v>
      </c>
      <c r="J133" s="2">
        <v>51</v>
      </c>
      <c r="K133" s="2">
        <v>0</v>
      </c>
      <c r="L133" s="2">
        <v>1</v>
      </c>
      <c r="M133" s="2">
        <v>0</v>
      </c>
      <c r="N133" s="2">
        <v>1</v>
      </c>
      <c r="O133" s="2">
        <v>1</v>
      </c>
      <c r="P133" s="2">
        <v>1</v>
      </c>
      <c r="Q133" s="2">
        <v>0</v>
      </c>
      <c r="R133" s="2">
        <v>0</v>
      </c>
      <c r="S133" s="6"/>
      <c r="T133" s="7"/>
      <c r="U133" s="3"/>
    </row>
    <row r="134" spans="1:21">
      <c r="A134" s="2">
        <v>133</v>
      </c>
      <c r="B134" s="2">
        <v>0</v>
      </c>
      <c r="C134" s="2">
        <v>36000</v>
      </c>
      <c r="D134" s="2">
        <v>1</v>
      </c>
      <c r="E134" s="2">
        <v>1</v>
      </c>
      <c r="F134" s="2">
        <v>0</v>
      </c>
      <c r="G134" s="2">
        <v>0</v>
      </c>
      <c r="H134" s="2">
        <v>0</v>
      </c>
      <c r="I134" s="2">
        <v>0</v>
      </c>
      <c r="J134" s="2">
        <v>3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0</v>
      </c>
      <c r="S134" s="6"/>
      <c r="T134" s="7"/>
      <c r="U134" s="3"/>
    </row>
    <row r="135" spans="1:21">
      <c r="A135" s="2">
        <v>134</v>
      </c>
      <c r="B135" s="2">
        <v>1</v>
      </c>
      <c r="C135" s="2">
        <v>75000</v>
      </c>
      <c r="D135" s="2">
        <v>0</v>
      </c>
      <c r="E135" s="2">
        <v>1</v>
      </c>
      <c r="F135" s="2">
        <v>1</v>
      </c>
      <c r="G135" s="2">
        <v>1</v>
      </c>
      <c r="H135" s="2">
        <v>0</v>
      </c>
      <c r="I135" s="2">
        <v>0</v>
      </c>
      <c r="J135" s="2">
        <v>11</v>
      </c>
      <c r="K135" s="2">
        <v>1</v>
      </c>
      <c r="L135" s="2">
        <v>0</v>
      </c>
      <c r="M135" s="2">
        <v>1</v>
      </c>
      <c r="N135" s="2">
        <v>1</v>
      </c>
      <c r="O135" s="2">
        <v>1</v>
      </c>
      <c r="P135" s="2">
        <v>1</v>
      </c>
      <c r="Q135" s="2">
        <v>0</v>
      </c>
      <c r="R135" s="2">
        <v>0</v>
      </c>
      <c r="S135" s="6"/>
      <c r="T135" s="7"/>
      <c r="U135" s="3"/>
    </row>
    <row r="136" spans="1:21">
      <c r="A136" s="2">
        <v>135</v>
      </c>
      <c r="B136" s="2">
        <v>0</v>
      </c>
      <c r="C136" s="2">
        <v>26000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20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1</v>
      </c>
      <c r="Q136" s="2">
        <v>0</v>
      </c>
      <c r="R136" s="2">
        <v>0</v>
      </c>
      <c r="S136" s="6"/>
      <c r="T136" s="7"/>
      <c r="U136" s="3"/>
    </row>
    <row r="137" spans="1:21">
      <c r="A137" s="2">
        <v>136</v>
      </c>
      <c r="B137" s="2">
        <v>0</v>
      </c>
      <c r="C137" s="2">
        <v>33000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1</v>
      </c>
      <c r="O137" s="2">
        <v>0</v>
      </c>
      <c r="P137" s="2">
        <v>1</v>
      </c>
      <c r="Q137" s="2">
        <v>0</v>
      </c>
      <c r="R137" s="2">
        <v>0</v>
      </c>
      <c r="S137" s="6"/>
      <c r="T137" s="7"/>
      <c r="U137" s="3"/>
    </row>
    <row r="138" spans="1:21">
      <c r="A138" s="2">
        <v>137</v>
      </c>
      <c r="B138" s="2">
        <v>0</v>
      </c>
      <c r="C138" s="2">
        <v>37000</v>
      </c>
      <c r="D138" s="2">
        <v>1</v>
      </c>
      <c r="E138" s="2">
        <v>0</v>
      </c>
      <c r="F138" s="2">
        <v>1</v>
      </c>
      <c r="G138" s="2">
        <v>1</v>
      </c>
      <c r="H138" s="2">
        <v>0</v>
      </c>
      <c r="I138" s="2">
        <v>0</v>
      </c>
      <c r="J138" s="2">
        <v>8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6"/>
      <c r="T138" s="7"/>
      <c r="U138" s="3"/>
    </row>
    <row r="139" spans="1:21">
      <c r="A139" s="2">
        <v>138</v>
      </c>
      <c r="B139" s="2">
        <v>0</v>
      </c>
      <c r="C139" s="2">
        <v>19000</v>
      </c>
      <c r="D139" s="2">
        <v>1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11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2">
        <v>0</v>
      </c>
      <c r="R139" s="2">
        <v>0</v>
      </c>
      <c r="S139" s="6"/>
      <c r="T139" s="7"/>
      <c r="U139" s="3"/>
    </row>
    <row r="140" spans="1:21">
      <c r="A140" s="2">
        <v>139</v>
      </c>
      <c r="B140" s="2">
        <v>0</v>
      </c>
      <c r="C140" s="2">
        <v>19000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19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1</v>
      </c>
      <c r="Q140" s="2">
        <v>1</v>
      </c>
      <c r="R140" s="2">
        <v>0</v>
      </c>
      <c r="S140" s="6"/>
      <c r="T140" s="7"/>
      <c r="U140" s="3"/>
    </row>
    <row r="141" spans="1:21">
      <c r="A141" s="2">
        <v>140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2</v>
      </c>
      <c r="K141" s="2">
        <v>1</v>
      </c>
      <c r="L141" s="2">
        <v>0</v>
      </c>
      <c r="M141" s="2">
        <v>0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 s="6"/>
      <c r="T141" s="7"/>
      <c r="U141" s="3"/>
    </row>
    <row r="142" spans="1:21">
      <c r="A142" s="2">
        <v>141</v>
      </c>
      <c r="B142" s="2">
        <v>0</v>
      </c>
      <c r="C142" s="2">
        <v>50000</v>
      </c>
      <c r="D142" s="2">
        <v>0</v>
      </c>
      <c r="E142" s="2">
        <v>0</v>
      </c>
      <c r="F142" s="2">
        <v>1</v>
      </c>
      <c r="G142" s="2">
        <v>1</v>
      </c>
      <c r="H142" s="2">
        <v>0</v>
      </c>
      <c r="I142" s="2">
        <v>0</v>
      </c>
      <c r="J142" s="2">
        <v>30</v>
      </c>
      <c r="K142" s="2">
        <v>0</v>
      </c>
      <c r="L142" s="2">
        <v>0</v>
      </c>
      <c r="M142" s="2">
        <v>1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  <c r="S142" s="6"/>
      <c r="T142" s="7"/>
      <c r="U142" s="3"/>
    </row>
    <row r="143" spans="1:21">
      <c r="A143" s="2">
        <v>142</v>
      </c>
      <c r="B143" s="2">
        <v>0</v>
      </c>
      <c r="C143" s="2">
        <v>48000</v>
      </c>
      <c r="D143" s="2">
        <v>0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22</v>
      </c>
      <c r="K143" s="2">
        <v>1</v>
      </c>
      <c r="L143" s="2">
        <v>1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6"/>
      <c r="T143" s="7"/>
      <c r="U143" s="3"/>
    </row>
    <row r="144" spans="1:21">
      <c r="A144" s="2">
        <v>143</v>
      </c>
      <c r="B144" s="2">
        <v>0</v>
      </c>
      <c r="C144" s="2">
        <v>75000</v>
      </c>
      <c r="D144" s="2">
        <v>0</v>
      </c>
      <c r="E144" s="2">
        <v>1</v>
      </c>
      <c r="F144" s="2">
        <v>0</v>
      </c>
      <c r="G144" s="2">
        <v>0</v>
      </c>
      <c r="H144" s="2">
        <v>1</v>
      </c>
      <c r="I144" s="2">
        <v>0</v>
      </c>
      <c r="J144" s="2">
        <v>14</v>
      </c>
      <c r="K144" s="2">
        <v>0</v>
      </c>
      <c r="L144" s="2">
        <v>0</v>
      </c>
      <c r="M144" s="2">
        <v>1</v>
      </c>
      <c r="N144" s="2">
        <v>1</v>
      </c>
      <c r="O144" s="2">
        <v>1</v>
      </c>
      <c r="P144" s="2">
        <v>1</v>
      </c>
      <c r="Q144" s="2">
        <v>0</v>
      </c>
      <c r="R144" s="2">
        <v>0</v>
      </c>
      <c r="S144" s="6"/>
      <c r="T144" s="7"/>
      <c r="U144" s="3"/>
    </row>
    <row r="145" spans="1:21">
      <c r="A145" s="2">
        <v>144</v>
      </c>
      <c r="B145" s="2">
        <v>0</v>
      </c>
      <c r="C145" s="2">
        <v>2000</v>
      </c>
      <c r="D145" s="2">
        <v>1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2</v>
      </c>
      <c r="K145" s="2">
        <v>0</v>
      </c>
      <c r="L145" s="2">
        <v>0</v>
      </c>
      <c r="M145" s="2">
        <v>1</v>
      </c>
      <c r="N145" s="2">
        <v>0</v>
      </c>
      <c r="O145" s="2">
        <v>1</v>
      </c>
      <c r="P145" s="2">
        <v>1</v>
      </c>
      <c r="Q145" s="2">
        <v>0</v>
      </c>
      <c r="R145" s="2">
        <v>0</v>
      </c>
      <c r="S145" s="6"/>
      <c r="T145" s="7"/>
      <c r="U145" s="3"/>
    </row>
    <row r="146" spans="1:21">
      <c r="A146" s="2">
        <v>145</v>
      </c>
      <c r="B146" s="2">
        <v>0</v>
      </c>
      <c r="C146" s="2">
        <v>10000</v>
      </c>
      <c r="D146" s="2">
        <v>1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8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  <c r="P146" s="2">
        <v>1</v>
      </c>
      <c r="Q146" s="2">
        <v>0</v>
      </c>
      <c r="R146" s="2">
        <v>0</v>
      </c>
      <c r="S146" s="6"/>
      <c r="T146" s="7"/>
      <c r="U146" s="3"/>
    </row>
    <row r="147" spans="1:21">
      <c r="A147" s="2">
        <v>146</v>
      </c>
      <c r="B147" s="2">
        <v>0</v>
      </c>
      <c r="C147" s="2">
        <v>49000</v>
      </c>
      <c r="D147" s="2">
        <v>0</v>
      </c>
      <c r="E147" s="2">
        <v>0</v>
      </c>
      <c r="F147" s="2">
        <v>0</v>
      </c>
      <c r="G147" s="2">
        <v>1</v>
      </c>
      <c r="H147" s="2">
        <v>0</v>
      </c>
      <c r="I147" s="2">
        <v>0</v>
      </c>
      <c r="J147" s="2">
        <v>18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  <c r="P147" s="2">
        <v>1</v>
      </c>
      <c r="Q147" s="2">
        <v>0</v>
      </c>
      <c r="R147" s="2">
        <v>0</v>
      </c>
      <c r="S147" s="6"/>
      <c r="T147" s="7"/>
      <c r="U147" s="3"/>
    </row>
    <row r="148" spans="1:21">
      <c r="A148" s="2">
        <v>147</v>
      </c>
      <c r="B148" s="2">
        <v>0</v>
      </c>
      <c r="C148" s="2">
        <v>26000</v>
      </c>
      <c r="D148" s="2">
        <v>0</v>
      </c>
      <c r="E148" s="2">
        <v>0</v>
      </c>
      <c r="F148" s="2">
        <v>1</v>
      </c>
      <c r="G148" s="2">
        <v>1</v>
      </c>
      <c r="H148" s="2">
        <v>0</v>
      </c>
      <c r="I148" s="2">
        <v>0</v>
      </c>
      <c r="J148" s="2">
        <v>3</v>
      </c>
      <c r="K148" s="2">
        <v>0</v>
      </c>
      <c r="L148" s="2">
        <v>0</v>
      </c>
      <c r="M148" s="2">
        <v>0</v>
      </c>
      <c r="N148" s="2">
        <v>0</v>
      </c>
      <c r="O148" s="2">
        <v>1</v>
      </c>
      <c r="P148" s="2">
        <v>1</v>
      </c>
      <c r="Q148" s="2">
        <v>0</v>
      </c>
      <c r="R148" s="2">
        <v>0</v>
      </c>
      <c r="S148" s="6"/>
      <c r="T148" s="7"/>
      <c r="U148" s="3"/>
    </row>
    <row r="149" spans="1:21">
      <c r="A149" s="2">
        <v>148</v>
      </c>
      <c r="B149" s="2">
        <v>0</v>
      </c>
      <c r="C149" s="2">
        <v>6000</v>
      </c>
      <c r="D149" s="2">
        <v>1</v>
      </c>
      <c r="E149" s="2">
        <v>0</v>
      </c>
      <c r="F149" s="2">
        <v>0</v>
      </c>
      <c r="G149" s="2">
        <v>0</v>
      </c>
      <c r="H149" s="2">
        <v>0</v>
      </c>
      <c r="I149" s="2">
        <v>1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1</v>
      </c>
      <c r="P149" s="2">
        <v>1</v>
      </c>
      <c r="Q149" s="2">
        <v>0</v>
      </c>
      <c r="R149" s="2">
        <v>0</v>
      </c>
      <c r="S149" s="6"/>
      <c r="T149" s="7"/>
      <c r="U149" s="3"/>
    </row>
    <row r="150" spans="1:21">
      <c r="A150" s="2">
        <v>149</v>
      </c>
      <c r="B150" s="2">
        <v>0</v>
      </c>
      <c r="C150" s="2">
        <v>32000</v>
      </c>
      <c r="D150" s="2">
        <v>0</v>
      </c>
      <c r="E150" s="2">
        <v>1</v>
      </c>
      <c r="F150" s="2">
        <v>0</v>
      </c>
      <c r="G150" s="2">
        <v>0</v>
      </c>
      <c r="H150" s="2">
        <v>0</v>
      </c>
      <c r="I150" s="2">
        <v>0</v>
      </c>
      <c r="J150" s="2">
        <v>24</v>
      </c>
      <c r="K150" s="2">
        <v>1</v>
      </c>
      <c r="L150" s="2">
        <v>0</v>
      </c>
      <c r="M150" s="2">
        <v>1</v>
      </c>
      <c r="N150" s="2">
        <v>1</v>
      </c>
      <c r="O150" s="2">
        <v>1</v>
      </c>
      <c r="P150" s="2">
        <v>1</v>
      </c>
      <c r="Q150" s="2">
        <v>0</v>
      </c>
      <c r="R150" s="2">
        <v>0</v>
      </c>
      <c r="S150" s="6"/>
      <c r="T150" s="7"/>
      <c r="U150" s="3"/>
    </row>
    <row r="151" spans="1:21">
      <c r="A151" s="2">
        <v>150</v>
      </c>
      <c r="B151" s="2">
        <v>0</v>
      </c>
      <c r="C151" s="2">
        <v>49000</v>
      </c>
      <c r="D151" s="2">
        <v>1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21</v>
      </c>
      <c r="K151" s="2">
        <v>1</v>
      </c>
      <c r="L151" s="2">
        <v>0</v>
      </c>
      <c r="M151" s="2">
        <v>1</v>
      </c>
      <c r="N151" s="2">
        <v>1</v>
      </c>
      <c r="O151" s="2">
        <v>1</v>
      </c>
      <c r="P151" s="2">
        <v>1</v>
      </c>
      <c r="Q151" s="2">
        <v>0</v>
      </c>
      <c r="R151" s="2">
        <v>0</v>
      </c>
      <c r="S151" s="6"/>
      <c r="T151" s="7"/>
      <c r="U151" s="3"/>
    </row>
    <row r="152" spans="1:21">
      <c r="A152" s="2">
        <v>151</v>
      </c>
      <c r="B152" s="2">
        <v>0</v>
      </c>
      <c r="C152" s="2">
        <v>33000</v>
      </c>
      <c r="D152" s="2">
        <v>1</v>
      </c>
      <c r="E152" s="2">
        <v>1</v>
      </c>
      <c r="F152" s="2">
        <v>1</v>
      </c>
      <c r="G152" s="2">
        <v>0</v>
      </c>
      <c r="H152" s="2">
        <v>0</v>
      </c>
      <c r="I152" s="2">
        <v>0</v>
      </c>
      <c r="J152" s="2">
        <v>27</v>
      </c>
      <c r="K152" s="2">
        <v>0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>
        <v>0</v>
      </c>
      <c r="R152" s="2">
        <v>0</v>
      </c>
      <c r="S152" s="6"/>
      <c r="T152" s="7"/>
      <c r="U152" s="3"/>
    </row>
    <row r="153" spans="1:21">
      <c r="A153" s="2">
        <v>152</v>
      </c>
      <c r="B153" s="2">
        <v>0</v>
      </c>
      <c r="C153" s="2">
        <v>61000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1</v>
      </c>
      <c r="Q153" s="2">
        <v>0</v>
      </c>
      <c r="R153" s="2">
        <v>1</v>
      </c>
      <c r="S153" s="6"/>
      <c r="T153" s="7"/>
      <c r="U153" s="3"/>
    </row>
    <row r="154" spans="1:21">
      <c r="A154" s="2">
        <v>153</v>
      </c>
      <c r="B154" s="2">
        <v>0</v>
      </c>
      <c r="C154" s="2">
        <v>6000</v>
      </c>
      <c r="D154" s="2">
        <v>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18</v>
      </c>
      <c r="K154" s="2">
        <v>0</v>
      </c>
      <c r="L154" s="2">
        <v>1</v>
      </c>
      <c r="M154" s="2">
        <v>0</v>
      </c>
      <c r="N154" s="2">
        <v>1</v>
      </c>
      <c r="O154" s="2">
        <v>1</v>
      </c>
      <c r="P154" s="2">
        <v>1</v>
      </c>
      <c r="Q154" s="2">
        <v>0</v>
      </c>
      <c r="R154" s="2">
        <v>0</v>
      </c>
      <c r="S154" s="6"/>
      <c r="T154" s="7"/>
      <c r="U154" s="3"/>
    </row>
    <row r="155" spans="1:21">
      <c r="A155" s="2">
        <v>154</v>
      </c>
      <c r="B155" s="2">
        <v>0</v>
      </c>
      <c r="C155" s="2">
        <v>10000</v>
      </c>
      <c r="D155" s="2">
        <v>1</v>
      </c>
      <c r="E155" s="2">
        <v>0</v>
      </c>
      <c r="F155" s="2">
        <v>0</v>
      </c>
      <c r="G155" s="2">
        <v>0</v>
      </c>
      <c r="H155" s="2">
        <v>0</v>
      </c>
      <c r="I155" s="2">
        <v>1</v>
      </c>
      <c r="J155" s="2">
        <v>20</v>
      </c>
      <c r="K155" s="2">
        <v>0</v>
      </c>
      <c r="L155" s="2">
        <v>1</v>
      </c>
      <c r="M155" s="2">
        <v>0</v>
      </c>
      <c r="N155" s="2">
        <v>1</v>
      </c>
      <c r="O155" s="2">
        <v>1</v>
      </c>
      <c r="P155" s="2">
        <v>1</v>
      </c>
      <c r="Q155" s="2">
        <v>0</v>
      </c>
      <c r="R155" s="2">
        <v>0</v>
      </c>
      <c r="S155" s="6"/>
      <c r="T155" s="7"/>
      <c r="U155" s="3"/>
    </row>
    <row r="156" spans="1:21">
      <c r="A156" s="2">
        <v>155</v>
      </c>
      <c r="B156" s="2">
        <v>0</v>
      </c>
      <c r="C156" s="2">
        <v>2000</v>
      </c>
      <c r="D156" s="2">
        <v>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>
        <v>1</v>
      </c>
      <c r="P156" s="2">
        <v>1</v>
      </c>
      <c r="Q156" s="2">
        <v>1</v>
      </c>
      <c r="R156" s="2">
        <v>0</v>
      </c>
      <c r="S156" s="6"/>
      <c r="T156" s="7"/>
      <c r="U156" s="3"/>
    </row>
    <row r="157" spans="1:21">
      <c r="A157" s="2">
        <v>156</v>
      </c>
      <c r="B157" s="2">
        <v>0</v>
      </c>
      <c r="C157" s="2">
        <v>61000</v>
      </c>
      <c r="D157" s="2">
        <v>0</v>
      </c>
      <c r="E157" s="2">
        <v>0</v>
      </c>
      <c r="F157" s="2">
        <v>0</v>
      </c>
      <c r="G157" s="2">
        <v>1</v>
      </c>
      <c r="H157" s="2">
        <v>0</v>
      </c>
      <c r="I157" s="2">
        <v>0</v>
      </c>
      <c r="J157" s="2">
        <v>17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1</v>
      </c>
      <c r="Q157" s="2">
        <v>0</v>
      </c>
      <c r="R157" s="2">
        <v>0</v>
      </c>
      <c r="S157" s="6"/>
      <c r="T157" s="7"/>
      <c r="U157" s="3"/>
    </row>
    <row r="158" spans="1:21">
      <c r="A158" s="2">
        <v>157</v>
      </c>
      <c r="B158" s="2">
        <v>0</v>
      </c>
      <c r="C158" s="2">
        <v>31000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1</v>
      </c>
      <c r="Q158" s="2">
        <v>0</v>
      </c>
      <c r="R158" s="2">
        <v>0</v>
      </c>
      <c r="S158" s="6"/>
      <c r="T158" s="7"/>
      <c r="U158" s="3"/>
    </row>
    <row r="159" spans="1:21">
      <c r="A159" s="2">
        <v>158</v>
      </c>
      <c r="B159" s="2">
        <v>0</v>
      </c>
      <c r="C159" s="2">
        <v>13000</v>
      </c>
      <c r="D159" s="2">
        <v>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15</v>
      </c>
      <c r="K159" s="2">
        <v>0</v>
      </c>
      <c r="L159" s="2">
        <v>1</v>
      </c>
      <c r="M159" s="2">
        <v>0</v>
      </c>
      <c r="N159" s="2">
        <v>1</v>
      </c>
      <c r="O159" s="2">
        <v>1</v>
      </c>
      <c r="P159" s="2">
        <v>1</v>
      </c>
      <c r="Q159" s="2">
        <v>0</v>
      </c>
      <c r="R159" s="2">
        <v>0</v>
      </c>
      <c r="S159" s="6"/>
      <c r="T159" s="7"/>
      <c r="U159" s="3"/>
    </row>
    <row r="160" spans="1:21">
      <c r="A160" s="2">
        <v>159</v>
      </c>
      <c r="B160" s="2">
        <v>0</v>
      </c>
      <c r="C160" s="2">
        <v>6000</v>
      </c>
      <c r="D160" s="2">
        <v>1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15</v>
      </c>
      <c r="K160" s="2">
        <v>0</v>
      </c>
      <c r="L160" s="2">
        <v>1</v>
      </c>
      <c r="M160" s="2">
        <v>0</v>
      </c>
      <c r="N160" s="2">
        <v>1</v>
      </c>
      <c r="O160" s="2">
        <v>1</v>
      </c>
      <c r="P160" s="2">
        <v>1</v>
      </c>
      <c r="Q160" s="2">
        <v>0</v>
      </c>
      <c r="R160" s="2">
        <v>0</v>
      </c>
      <c r="S160" s="6"/>
      <c r="T160" s="7"/>
      <c r="U160" s="3"/>
    </row>
    <row r="161" spans="1:21">
      <c r="A161" s="2">
        <v>160</v>
      </c>
      <c r="B161" s="2">
        <v>0</v>
      </c>
      <c r="C161" s="2">
        <v>15000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8</v>
      </c>
      <c r="K161" s="2">
        <v>0</v>
      </c>
      <c r="L161" s="2">
        <v>1</v>
      </c>
      <c r="M161" s="2">
        <v>0</v>
      </c>
      <c r="N161" s="2">
        <v>1</v>
      </c>
      <c r="O161" s="2">
        <v>0</v>
      </c>
      <c r="P161" s="2">
        <v>1</v>
      </c>
      <c r="Q161" s="2">
        <v>0</v>
      </c>
      <c r="R161" s="2">
        <v>0</v>
      </c>
      <c r="S161" s="6"/>
      <c r="T161" s="7"/>
      <c r="U161" s="3"/>
    </row>
    <row r="162" spans="1:21">
      <c r="A162" s="2">
        <v>161</v>
      </c>
      <c r="B162" s="2">
        <v>0</v>
      </c>
      <c r="C162" s="2">
        <v>3000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16</v>
      </c>
      <c r="K162" s="2">
        <v>0</v>
      </c>
      <c r="L162" s="2">
        <v>1</v>
      </c>
      <c r="M162" s="2">
        <v>0</v>
      </c>
      <c r="N162" s="2">
        <v>1</v>
      </c>
      <c r="O162" s="2">
        <v>1</v>
      </c>
      <c r="P162" s="2">
        <v>1</v>
      </c>
      <c r="Q162" s="2">
        <v>0</v>
      </c>
      <c r="R162" s="2">
        <v>0</v>
      </c>
      <c r="S162" s="6"/>
      <c r="T162" s="7"/>
      <c r="U162" s="3"/>
    </row>
    <row r="163" spans="1:21">
      <c r="A163" s="2">
        <v>162</v>
      </c>
      <c r="B163" s="2">
        <v>0</v>
      </c>
      <c r="C163" s="2">
        <v>15000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33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1</v>
      </c>
      <c r="Q163" s="2">
        <v>0</v>
      </c>
      <c r="R163" s="2">
        <v>0</v>
      </c>
      <c r="S163" s="6"/>
      <c r="T163" s="7"/>
      <c r="U163" s="3"/>
    </row>
    <row r="164" spans="1:21">
      <c r="A164" s="2">
        <v>163</v>
      </c>
      <c r="B164" s="2">
        <v>0</v>
      </c>
      <c r="C164" s="2">
        <v>27000</v>
      </c>
      <c r="D164" s="2">
        <v>1</v>
      </c>
      <c r="E164" s="2">
        <v>0</v>
      </c>
      <c r="F164" s="2">
        <v>1</v>
      </c>
      <c r="G164" s="2">
        <v>1</v>
      </c>
      <c r="H164" s="2">
        <v>0</v>
      </c>
      <c r="I164" s="2">
        <v>0</v>
      </c>
      <c r="J164" s="2">
        <v>18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</v>
      </c>
      <c r="Q164" s="2">
        <v>0</v>
      </c>
      <c r="R164" s="2">
        <v>0</v>
      </c>
      <c r="S164" s="6"/>
      <c r="T164" s="7"/>
      <c r="U164" s="3"/>
    </row>
    <row r="165" spans="1:21">
      <c r="A165" s="2">
        <v>164</v>
      </c>
      <c r="B165" s="2">
        <v>0</v>
      </c>
      <c r="C165" s="2">
        <v>2000</v>
      </c>
      <c r="D165" s="2">
        <v>0</v>
      </c>
      <c r="E165" s="2">
        <v>1</v>
      </c>
      <c r="F165" s="2">
        <v>1</v>
      </c>
      <c r="G165" s="2">
        <v>0</v>
      </c>
      <c r="H165" s="2">
        <v>0</v>
      </c>
      <c r="I165" s="2">
        <v>0</v>
      </c>
      <c r="J165" s="2">
        <v>26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 s="6"/>
      <c r="T165" s="7"/>
      <c r="U165" s="3"/>
    </row>
    <row r="166" spans="1:21">
      <c r="A166" s="2">
        <v>165</v>
      </c>
      <c r="B166" s="2">
        <v>0</v>
      </c>
      <c r="C166" s="2">
        <v>31000</v>
      </c>
      <c r="D166" s="2">
        <v>1</v>
      </c>
      <c r="E166" s="2">
        <v>0</v>
      </c>
      <c r="F166" s="2">
        <v>1</v>
      </c>
      <c r="G166" s="2">
        <v>1</v>
      </c>
      <c r="H166" s="2">
        <v>0</v>
      </c>
      <c r="I166" s="2">
        <v>0</v>
      </c>
      <c r="J166" s="2">
        <v>18</v>
      </c>
      <c r="K166" s="2">
        <v>0</v>
      </c>
      <c r="L166" s="2">
        <v>0</v>
      </c>
      <c r="M166" s="2">
        <v>1</v>
      </c>
      <c r="N166" s="2">
        <v>1</v>
      </c>
      <c r="O166" s="2">
        <v>1</v>
      </c>
      <c r="P166" s="2">
        <v>1</v>
      </c>
      <c r="Q166" s="2">
        <v>0</v>
      </c>
      <c r="R166" s="2">
        <v>0</v>
      </c>
      <c r="S166" s="6"/>
      <c r="T166" s="7"/>
      <c r="U166" s="3"/>
    </row>
    <row r="167" spans="1:21">
      <c r="A167" s="2">
        <v>166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11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1</v>
      </c>
      <c r="Q167" s="2">
        <v>0</v>
      </c>
      <c r="R167" s="2">
        <v>0</v>
      </c>
      <c r="S167" s="6"/>
      <c r="T167" s="7"/>
      <c r="U167" s="3"/>
    </row>
    <row r="168" spans="1:21">
      <c r="A168" s="2">
        <v>167</v>
      </c>
      <c r="B168" s="2">
        <v>0</v>
      </c>
      <c r="C168" s="2">
        <v>2000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5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6"/>
      <c r="T168" s="7"/>
      <c r="U168" s="3"/>
    </row>
    <row r="169" spans="1:21">
      <c r="A169" s="2">
        <v>168</v>
      </c>
      <c r="B169" s="2">
        <v>0</v>
      </c>
      <c r="C169" s="2">
        <v>37000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19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1</v>
      </c>
      <c r="Q169" s="2">
        <v>0</v>
      </c>
      <c r="R169" s="2">
        <v>0</v>
      </c>
      <c r="S169" s="6"/>
      <c r="T169" s="7"/>
      <c r="U169" s="3"/>
    </row>
    <row r="170" spans="1:21">
      <c r="A170" s="2">
        <v>169</v>
      </c>
      <c r="B170" s="2">
        <v>0</v>
      </c>
      <c r="C170" s="2">
        <v>54000</v>
      </c>
      <c r="D170" s="2">
        <v>0</v>
      </c>
      <c r="E170" s="2">
        <v>1</v>
      </c>
      <c r="F170" s="2">
        <v>1</v>
      </c>
      <c r="G170" s="2">
        <v>1</v>
      </c>
      <c r="H170" s="2">
        <v>0</v>
      </c>
      <c r="I170" s="2">
        <v>0</v>
      </c>
      <c r="J170" s="2">
        <v>37</v>
      </c>
      <c r="K170" s="2">
        <v>0</v>
      </c>
      <c r="L170" s="2">
        <v>0</v>
      </c>
      <c r="M170" s="2">
        <v>1</v>
      </c>
      <c r="N170" s="2">
        <v>1</v>
      </c>
      <c r="O170" s="2">
        <v>1</v>
      </c>
      <c r="P170" s="2">
        <v>1</v>
      </c>
      <c r="Q170" s="2">
        <v>0</v>
      </c>
      <c r="R170" s="2">
        <v>0</v>
      </c>
      <c r="S170" s="6"/>
      <c r="T170" s="7"/>
      <c r="U170" s="3"/>
    </row>
    <row r="171" spans="1:21">
      <c r="A171" s="2">
        <v>170</v>
      </c>
      <c r="B171" s="2">
        <v>0</v>
      </c>
      <c r="C171" s="2">
        <v>4000</v>
      </c>
      <c r="D171" s="2">
        <v>1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17</v>
      </c>
      <c r="K171" s="2">
        <v>0</v>
      </c>
      <c r="L171" s="2">
        <v>1</v>
      </c>
      <c r="M171" s="2">
        <v>0</v>
      </c>
      <c r="N171" s="2">
        <v>1</v>
      </c>
      <c r="O171" s="2">
        <v>1</v>
      </c>
      <c r="P171" s="2">
        <v>1</v>
      </c>
      <c r="Q171" s="2">
        <v>1</v>
      </c>
      <c r="R171" s="2">
        <v>0</v>
      </c>
      <c r="S171" s="6"/>
      <c r="T171" s="7"/>
      <c r="U171" s="3"/>
    </row>
    <row r="172" spans="1:21">
      <c r="A172" s="2">
        <v>171</v>
      </c>
      <c r="B172" s="2">
        <v>0</v>
      </c>
      <c r="C172" s="2">
        <v>8000</v>
      </c>
      <c r="D172" s="2">
        <v>1</v>
      </c>
      <c r="E172" s="2">
        <v>0</v>
      </c>
      <c r="F172" s="2">
        <v>1</v>
      </c>
      <c r="G172" s="2">
        <v>0</v>
      </c>
      <c r="H172" s="2">
        <v>0</v>
      </c>
      <c r="I172" s="2">
        <v>0</v>
      </c>
      <c r="J172" s="2">
        <v>38</v>
      </c>
      <c r="K172" s="2">
        <v>0</v>
      </c>
      <c r="L172" s="2">
        <v>0</v>
      </c>
      <c r="M172" s="2">
        <v>0</v>
      </c>
      <c r="N172" s="2">
        <v>1</v>
      </c>
      <c r="O172" s="2">
        <v>1</v>
      </c>
      <c r="P172" s="2">
        <v>1</v>
      </c>
      <c r="Q172" s="2">
        <v>1</v>
      </c>
      <c r="R172" s="2">
        <v>0</v>
      </c>
      <c r="S172" s="6"/>
      <c r="T172" s="7"/>
      <c r="U172" s="3"/>
    </row>
    <row r="173" spans="1:21">
      <c r="A173" s="2">
        <v>172</v>
      </c>
      <c r="B173" s="2">
        <v>0</v>
      </c>
      <c r="C173" s="2">
        <v>57000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25</v>
      </c>
      <c r="K173" s="2">
        <v>0</v>
      </c>
      <c r="L173" s="2">
        <v>1</v>
      </c>
      <c r="M173" s="2">
        <v>0</v>
      </c>
      <c r="N173" s="2">
        <v>1</v>
      </c>
      <c r="O173" s="2">
        <v>1</v>
      </c>
      <c r="P173" s="2">
        <v>1</v>
      </c>
      <c r="Q173" s="2">
        <v>0</v>
      </c>
      <c r="R173" s="2">
        <v>0</v>
      </c>
      <c r="S173" s="6"/>
      <c r="T173" s="7"/>
      <c r="U173" s="3"/>
    </row>
    <row r="174" spans="1:21">
      <c r="A174" s="2">
        <v>173</v>
      </c>
      <c r="B174" s="2">
        <v>0</v>
      </c>
      <c r="C174" s="2">
        <v>0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17</v>
      </c>
      <c r="K174" s="2">
        <v>0</v>
      </c>
      <c r="L174" s="2">
        <v>1</v>
      </c>
      <c r="M174" s="2">
        <v>0</v>
      </c>
      <c r="N174" s="2">
        <v>1</v>
      </c>
      <c r="O174" s="2">
        <v>1</v>
      </c>
      <c r="P174" s="2">
        <v>1</v>
      </c>
      <c r="Q174" s="2">
        <v>1</v>
      </c>
      <c r="R174" s="2">
        <v>0</v>
      </c>
      <c r="S174" s="6"/>
      <c r="T174" s="7"/>
      <c r="U174" s="3"/>
    </row>
    <row r="175" spans="1:21">
      <c r="A175" s="2">
        <v>174</v>
      </c>
      <c r="B175" s="2">
        <v>0</v>
      </c>
      <c r="C175" s="2">
        <v>34000</v>
      </c>
      <c r="D175" s="2">
        <v>1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2">
        <v>27</v>
      </c>
      <c r="K175" s="2">
        <v>1</v>
      </c>
      <c r="L175" s="2">
        <v>0</v>
      </c>
      <c r="M175" s="2">
        <v>0</v>
      </c>
      <c r="N175" s="2">
        <v>1</v>
      </c>
      <c r="O175" s="2">
        <v>1</v>
      </c>
      <c r="P175" s="2">
        <v>1</v>
      </c>
      <c r="Q175" s="2">
        <v>0</v>
      </c>
      <c r="R175" s="2">
        <v>0</v>
      </c>
      <c r="S175" s="6"/>
      <c r="T175" s="7"/>
      <c r="U175" s="3"/>
    </row>
    <row r="176" spans="1:21">
      <c r="A176" s="2">
        <v>175</v>
      </c>
      <c r="B176" s="2">
        <v>0</v>
      </c>
      <c r="C176" s="2">
        <v>48000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15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 s="6"/>
      <c r="T176" s="7"/>
      <c r="U176" s="3"/>
    </row>
    <row r="177" spans="1:21">
      <c r="A177" s="2">
        <v>176</v>
      </c>
      <c r="B177" s="2">
        <v>0</v>
      </c>
      <c r="C177" s="2">
        <v>28000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11</v>
      </c>
      <c r="K177" s="2">
        <v>0</v>
      </c>
      <c r="L177" s="2">
        <v>1</v>
      </c>
      <c r="M177" s="2">
        <v>0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 s="6"/>
      <c r="T177" s="7"/>
      <c r="U177" s="3"/>
    </row>
    <row r="178" spans="1:21">
      <c r="A178" s="2">
        <v>177</v>
      </c>
      <c r="B178" s="2">
        <v>0</v>
      </c>
      <c r="C178" s="2">
        <v>1000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1</v>
      </c>
      <c r="J178" s="2">
        <v>15</v>
      </c>
      <c r="K178" s="2">
        <v>0</v>
      </c>
      <c r="L178" s="2">
        <v>1</v>
      </c>
      <c r="M178" s="2">
        <v>0</v>
      </c>
      <c r="N178" s="2">
        <v>1</v>
      </c>
      <c r="O178" s="2">
        <v>0</v>
      </c>
      <c r="P178" s="2">
        <v>0</v>
      </c>
      <c r="Q178" s="2">
        <v>0</v>
      </c>
      <c r="R178" s="2">
        <v>0</v>
      </c>
      <c r="S178" s="6"/>
      <c r="T178" s="7"/>
      <c r="U178" s="3"/>
    </row>
    <row r="179" spans="1:21">
      <c r="A179" s="2">
        <v>178</v>
      </c>
      <c r="B179" s="2">
        <v>0</v>
      </c>
      <c r="C179" s="2">
        <v>33000</v>
      </c>
      <c r="D179" s="2">
        <v>0</v>
      </c>
      <c r="E179" s="2">
        <v>0</v>
      </c>
      <c r="F179" s="2">
        <v>1</v>
      </c>
      <c r="G179" s="2">
        <v>1</v>
      </c>
      <c r="H179" s="2">
        <v>0</v>
      </c>
      <c r="I179" s="2">
        <v>0</v>
      </c>
      <c r="J179" s="2">
        <v>24</v>
      </c>
      <c r="K179" s="2">
        <v>0</v>
      </c>
      <c r="L179" s="2">
        <v>0</v>
      </c>
      <c r="M179" s="2">
        <v>0</v>
      </c>
      <c r="N179" s="2">
        <v>1</v>
      </c>
      <c r="O179" s="2">
        <v>1</v>
      </c>
      <c r="P179" s="2">
        <v>1</v>
      </c>
      <c r="Q179" s="2">
        <v>0</v>
      </c>
      <c r="R179" s="2">
        <v>0</v>
      </c>
      <c r="S179" s="6"/>
      <c r="T179" s="7"/>
      <c r="U179" s="3"/>
    </row>
    <row r="180" spans="1:21">
      <c r="A180" s="2">
        <v>179</v>
      </c>
      <c r="B180" s="2">
        <v>0</v>
      </c>
      <c r="C180" s="2">
        <v>19000</v>
      </c>
      <c r="D180" s="2">
        <v>1</v>
      </c>
      <c r="E180" s="2">
        <v>1</v>
      </c>
      <c r="F180" s="2">
        <v>0</v>
      </c>
      <c r="G180" s="2">
        <v>0</v>
      </c>
      <c r="H180" s="2">
        <v>1</v>
      </c>
      <c r="I180" s="2">
        <v>0</v>
      </c>
      <c r="J180" s="2">
        <v>14</v>
      </c>
      <c r="K180" s="2">
        <v>0</v>
      </c>
      <c r="L180" s="2">
        <v>0</v>
      </c>
      <c r="M180" s="2">
        <v>1</v>
      </c>
      <c r="N180" s="2">
        <v>1</v>
      </c>
      <c r="O180" s="2">
        <v>1</v>
      </c>
      <c r="P180" s="2">
        <v>1</v>
      </c>
      <c r="Q180" s="2">
        <v>0</v>
      </c>
      <c r="R180" s="2">
        <v>0</v>
      </c>
      <c r="S180" s="6"/>
      <c r="T180" s="7"/>
      <c r="U180" s="3"/>
    </row>
    <row r="181" spans="1:21">
      <c r="A181" s="2">
        <v>180</v>
      </c>
      <c r="B181" s="2">
        <v>0</v>
      </c>
      <c r="C181" s="2">
        <v>24000</v>
      </c>
      <c r="D181" s="2">
        <v>1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31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1</v>
      </c>
      <c r="Q181" s="2">
        <v>0</v>
      </c>
      <c r="R181" s="2">
        <v>0</v>
      </c>
      <c r="S181" s="6"/>
      <c r="T181" s="7"/>
      <c r="U181" s="3"/>
    </row>
    <row r="182" spans="1:21">
      <c r="A182" s="2">
        <v>181</v>
      </c>
      <c r="B182" s="2">
        <v>0</v>
      </c>
      <c r="C182" s="2">
        <v>25000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30</v>
      </c>
      <c r="K182" s="2">
        <v>0</v>
      </c>
      <c r="L182" s="2">
        <v>0</v>
      </c>
      <c r="M182" s="2">
        <v>0</v>
      </c>
      <c r="N182" s="2">
        <v>1</v>
      </c>
      <c r="O182" s="2">
        <v>1</v>
      </c>
      <c r="P182" s="2">
        <v>1</v>
      </c>
      <c r="Q182" s="2">
        <v>0</v>
      </c>
      <c r="R182" s="2">
        <v>0</v>
      </c>
      <c r="S182" s="6"/>
      <c r="T182" s="7"/>
      <c r="U182" s="3"/>
    </row>
    <row r="183" spans="1:21">
      <c r="A183" s="2">
        <v>182</v>
      </c>
      <c r="B183" s="2">
        <v>0</v>
      </c>
      <c r="C183" s="2">
        <v>48000</v>
      </c>
      <c r="D183" s="2">
        <v>0</v>
      </c>
      <c r="E183" s="2">
        <v>0</v>
      </c>
      <c r="F183" s="2">
        <v>1</v>
      </c>
      <c r="G183" s="2">
        <v>1</v>
      </c>
      <c r="H183" s="2">
        <v>0</v>
      </c>
      <c r="I183" s="2">
        <v>0</v>
      </c>
      <c r="J183" s="2">
        <v>9</v>
      </c>
      <c r="K183" s="2">
        <v>0</v>
      </c>
      <c r="L183" s="2">
        <v>0</v>
      </c>
      <c r="M183" s="2">
        <v>1</v>
      </c>
      <c r="N183" s="2">
        <v>1</v>
      </c>
      <c r="O183" s="2">
        <v>0</v>
      </c>
      <c r="P183" s="2">
        <v>1</v>
      </c>
      <c r="Q183" s="2">
        <v>0</v>
      </c>
      <c r="R183" s="2">
        <v>0</v>
      </c>
      <c r="S183" s="6"/>
      <c r="T183" s="7"/>
      <c r="U183" s="3"/>
    </row>
    <row r="184" spans="1:21">
      <c r="A184" s="2">
        <v>183</v>
      </c>
      <c r="B184" s="2">
        <v>1</v>
      </c>
      <c r="C184" s="2">
        <v>75000</v>
      </c>
      <c r="D184" s="2">
        <v>1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57</v>
      </c>
      <c r="K184" s="2">
        <v>0</v>
      </c>
      <c r="L184" s="2">
        <v>0</v>
      </c>
      <c r="M184" s="2">
        <v>1</v>
      </c>
      <c r="N184" s="2">
        <v>0</v>
      </c>
      <c r="O184" s="2">
        <v>1</v>
      </c>
      <c r="P184" s="2">
        <v>1</v>
      </c>
      <c r="Q184" s="2">
        <v>0</v>
      </c>
      <c r="R184" s="2">
        <v>0</v>
      </c>
      <c r="S184" s="6"/>
      <c r="T184" s="7"/>
      <c r="U184" s="3"/>
    </row>
    <row r="185" spans="1:21">
      <c r="A185" s="2">
        <v>184</v>
      </c>
      <c r="B185" s="2">
        <v>1</v>
      </c>
      <c r="C185" s="2">
        <v>58000</v>
      </c>
      <c r="D185" s="2">
        <v>1</v>
      </c>
      <c r="E185" s="2">
        <v>1</v>
      </c>
      <c r="F185" s="2">
        <v>1</v>
      </c>
      <c r="G185" s="2">
        <v>0</v>
      </c>
      <c r="H185" s="2">
        <v>0</v>
      </c>
      <c r="I185" s="2">
        <v>0</v>
      </c>
      <c r="J185" s="2">
        <v>8</v>
      </c>
      <c r="K185" s="2">
        <v>1</v>
      </c>
      <c r="L185" s="2">
        <v>0</v>
      </c>
      <c r="M185" s="2">
        <v>1</v>
      </c>
      <c r="N185" s="2">
        <v>1</v>
      </c>
      <c r="O185" s="2">
        <v>1</v>
      </c>
      <c r="P185" s="2">
        <v>1</v>
      </c>
      <c r="Q185" s="2">
        <v>0</v>
      </c>
      <c r="R185" s="2">
        <v>1</v>
      </c>
      <c r="S185" s="6"/>
      <c r="T185" s="7"/>
      <c r="U185" s="3"/>
    </row>
    <row r="186" spans="1:21">
      <c r="A186" s="2">
        <v>185</v>
      </c>
      <c r="B186" s="2">
        <v>0</v>
      </c>
      <c r="C186" s="2">
        <v>1000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2</v>
      </c>
      <c r="K186" s="2">
        <v>0</v>
      </c>
      <c r="L186" s="2">
        <v>0</v>
      </c>
      <c r="M186" s="2">
        <v>0</v>
      </c>
      <c r="N186" s="2">
        <v>1</v>
      </c>
      <c r="O186" s="2">
        <v>1</v>
      </c>
      <c r="P186" s="2">
        <v>1</v>
      </c>
      <c r="Q186" s="2">
        <v>0</v>
      </c>
      <c r="R186" s="2">
        <v>0</v>
      </c>
      <c r="S186" s="6"/>
      <c r="T186" s="7"/>
      <c r="U186" s="3"/>
    </row>
    <row r="187" spans="1:21">
      <c r="A187" s="2">
        <v>186</v>
      </c>
      <c r="B187" s="2">
        <v>0</v>
      </c>
      <c r="C187" s="2">
        <v>0</v>
      </c>
      <c r="D187" s="2">
        <v>1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14</v>
      </c>
      <c r="K187" s="2">
        <v>0</v>
      </c>
      <c r="L187" s="2">
        <v>1</v>
      </c>
      <c r="M187" s="2">
        <v>0</v>
      </c>
      <c r="N187" s="2">
        <v>1</v>
      </c>
      <c r="O187" s="2">
        <v>1</v>
      </c>
      <c r="P187" s="2">
        <v>1</v>
      </c>
      <c r="Q187" s="2">
        <v>0</v>
      </c>
      <c r="R187" s="2">
        <v>0</v>
      </c>
      <c r="S187" s="6"/>
      <c r="T187" s="7"/>
      <c r="U187" s="3"/>
    </row>
    <row r="188" spans="1:21">
      <c r="A188" s="2">
        <v>187</v>
      </c>
      <c r="B188" s="2">
        <v>1</v>
      </c>
      <c r="C188" s="2">
        <v>67000</v>
      </c>
      <c r="D188" s="2">
        <v>1</v>
      </c>
      <c r="E188" s="2">
        <v>1</v>
      </c>
      <c r="F188" s="2">
        <v>0</v>
      </c>
      <c r="G188" s="2">
        <v>0</v>
      </c>
      <c r="H188" s="2">
        <v>0</v>
      </c>
      <c r="I188" s="2">
        <v>0</v>
      </c>
      <c r="J188" s="2">
        <v>23</v>
      </c>
      <c r="K188" s="2">
        <v>1</v>
      </c>
      <c r="L188" s="2">
        <v>0</v>
      </c>
      <c r="M188" s="2">
        <v>1</v>
      </c>
      <c r="N188" s="2">
        <v>1</v>
      </c>
      <c r="O188" s="2">
        <v>1</v>
      </c>
      <c r="P188" s="2">
        <v>1</v>
      </c>
      <c r="Q188" s="2">
        <v>0</v>
      </c>
      <c r="R188" s="2">
        <v>0</v>
      </c>
      <c r="S188" s="6"/>
      <c r="T188" s="7"/>
      <c r="U188" s="3"/>
    </row>
    <row r="189" spans="1:21">
      <c r="A189" s="2">
        <v>188</v>
      </c>
      <c r="B189" s="2">
        <v>0</v>
      </c>
      <c r="C189" s="2">
        <v>7000</v>
      </c>
      <c r="D189" s="2">
        <v>1</v>
      </c>
      <c r="E189" s="2">
        <v>0</v>
      </c>
      <c r="F189" s="2">
        <v>1</v>
      </c>
      <c r="G189" s="2">
        <v>0</v>
      </c>
      <c r="H189" s="2">
        <v>0</v>
      </c>
      <c r="I189" s="2">
        <v>0</v>
      </c>
      <c r="J189" s="2">
        <v>4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  <c r="P189" s="2">
        <v>1</v>
      </c>
      <c r="Q189" s="2">
        <v>0</v>
      </c>
      <c r="R189" s="2">
        <v>0</v>
      </c>
      <c r="S189" s="6"/>
      <c r="T189" s="7"/>
      <c r="U189" s="3"/>
    </row>
    <row r="190" spans="1:21">
      <c r="A190" s="2">
        <v>189</v>
      </c>
      <c r="B190" s="2">
        <v>0</v>
      </c>
      <c r="C190" s="2">
        <v>7000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16</v>
      </c>
      <c r="K190" s="2">
        <v>0</v>
      </c>
      <c r="L190" s="2">
        <v>0</v>
      </c>
      <c r="M190" s="2">
        <v>0</v>
      </c>
      <c r="N190" s="2">
        <v>1</v>
      </c>
      <c r="O190" s="2">
        <v>1</v>
      </c>
      <c r="P190" s="2">
        <v>1</v>
      </c>
      <c r="Q190" s="2">
        <v>0</v>
      </c>
      <c r="R190" s="2">
        <v>1</v>
      </c>
      <c r="S190" s="6"/>
      <c r="T190" s="7"/>
      <c r="U190" s="3"/>
    </row>
    <row r="191" spans="1:21">
      <c r="A191" s="2">
        <v>190</v>
      </c>
      <c r="B191" s="2">
        <v>1</v>
      </c>
      <c r="C191" s="2">
        <v>75000</v>
      </c>
      <c r="D191" s="2">
        <v>0</v>
      </c>
      <c r="E191" s="2">
        <v>1</v>
      </c>
      <c r="F191" s="2">
        <v>1</v>
      </c>
      <c r="G191" s="2">
        <v>0</v>
      </c>
      <c r="H191" s="2">
        <v>0</v>
      </c>
      <c r="I191" s="2">
        <v>0</v>
      </c>
      <c r="J191" s="2">
        <v>5</v>
      </c>
      <c r="K191" s="2">
        <v>1</v>
      </c>
      <c r="L191" s="2">
        <v>0</v>
      </c>
      <c r="M191" s="2">
        <v>1</v>
      </c>
      <c r="N191" s="2">
        <v>1</v>
      </c>
      <c r="O191" s="2">
        <v>1</v>
      </c>
      <c r="P191" s="2">
        <v>1</v>
      </c>
      <c r="Q191" s="2">
        <v>0</v>
      </c>
      <c r="R191" s="2">
        <v>1</v>
      </c>
      <c r="S191" s="6"/>
      <c r="T191" s="7"/>
      <c r="U191" s="3"/>
    </row>
    <row r="192" spans="1:21">
      <c r="A192" s="2">
        <v>191</v>
      </c>
      <c r="B192" s="2">
        <v>0</v>
      </c>
      <c r="C192" s="2">
        <v>53000</v>
      </c>
      <c r="D192" s="2">
        <v>1</v>
      </c>
      <c r="E192" s="2">
        <v>1</v>
      </c>
      <c r="F192" s="2">
        <v>0</v>
      </c>
      <c r="G192" s="2">
        <v>0</v>
      </c>
      <c r="H192" s="2">
        <v>0</v>
      </c>
      <c r="I192" s="2">
        <v>0</v>
      </c>
      <c r="J192" s="2">
        <v>17</v>
      </c>
      <c r="K192" s="2">
        <v>1</v>
      </c>
      <c r="L192" s="2">
        <v>0</v>
      </c>
      <c r="M192" s="2">
        <v>1</v>
      </c>
      <c r="N192" s="2">
        <v>1</v>
      </c>
      <c r="O192" s="2">
        <v>1</v>
      </c>
      <c r="P192" s="2">
        <v>1</v>
      </c>
      <c r="Q192" s="2">
        <v>0</v>
      </c>
      <c r="R192" s="2">
        <v>0</v>
      </c>
      <c r="S192" s="6"/>
      <c r="T192" s="7"/>
      <c r="U192" s="3"/>
    </row>
    <row r="193" spans="1:21">
      <c r="A193" s="2">
        <v>192</v>
      </c>
      <c r="B193" s="2">
        <v>0</v>
      </c>
      <c r="C193" s="2">
        <v>9000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13</v>
      </c>
      <c r="K193" s="2">
        <v>0</v>
      </c>
      <c r="L193" s="2">
        <v>0</v>
      </c>
      <c r="M193" s="2">
        <v>0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  <c r="S193" s="6"/>
      <c r="T193" s="7"/>
      <c r="U193" s="3"/>
    </row>
    <row r="194" spans="1:21">
      <c r="A194" s="2">
        <v>193</v>
      </c>
      <c r="B194" s="2">
        <v>0</v>
      </c>
      <c r="C194" s="2">
        <v>44000</v>
      </c>
      <c r="D194" s="2">
        <v>1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7</v>
      </c>
      <c r="K194" s="2">
        <v>0</v>
      </c>
      <c r="L194" s="2">
        <v>0</v>
      </c>
      <c r="M194" s="2">
        <v>0</v>
      </c>
      <c r="N194" s="2">
        <v>1</v>
      </c>
      <c r="O194" s="2">
        <v>1</v>
      </c>
      <c r="P194" s="2">
        <v>1</v>
      </c>
      <c r="Q194" s="2">
        <v>0</v>
      </c>
      <c r="R194" s="2">
        <v>0</v>
      </c>
      <c r="S194" s="6"/>
      <c r="T194" s="7"/>
      <c r="U194" s="3"/>
    </row>
    <row r="195" spans="1:21">
      <c r="A195" s="2">
        <v>194</v>
      </c>
      <c r="B195" s="2">
        <v>1</v>
      </c>
      <c r="C195" s="2">
        <v>75000</v>
      </c>
      <c r="D195" s="2">
        <v>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3</v>
      </c>
      <c r="K195" s="2">
        <v>0</v>
      </c>
      <c r="L195" s="2">
        <v>0</v>
      </c>
      <c r="M195" s="2">
        <v>0</v>
      </c>
      <c r="N195" s="2">
        <v>0</v>
      </c>
      <c r="O195" s="2">
        <v>1</v>
      </c>
      <c r="P195" s="2">
        <v>1</v>
      </c>
      <c r="Q195" s="2">
        <v>0</v>
      </c>
      <c r="R195" s="2">
        <v>0</v>
      </c>
      <c r="S195" s="6"/>
      <c r="T195" s="7"/>
      <c r="U195" s="3"/>
    </row>
    <row r="196" spans="1:21">
      <c r="A196" s="2">
        <v>195</v>
      </c>
      <c r="B196" s="2">
        <v>0</v>
      </c>
      <c r="C196" s="2">
        <v>36000</v>
      </c>
      <c r="D196" s="2">
        <v>0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2">
        <v>37</v>
      </c>
      <c r="K196" s="2">
        <v>1</v>
      </c>
      <c r="L196" s="2">
        <v>0</v>
      </c>
      <c r="M196" s="2">
        <v>1</v>
      </c>
      <c r="N196" s="2">
        <v>1</v>
      </c>
      <c r="O196" s="2">
        <v>1</v>
      </c>
      <c r="P196" s="2">
        <v>1</v>
      </c>
      <c r="Q196" s="2">
        <v>0</v>
      </c>
      <c r="R196" s="2">
        <v>0</v>
      </c>
      <c r="S196" s="6"/>
      <c r="T196" s="7"/>
      <c r="U196" s="3"/>
    </row>
    <row r="197" spans="1:21">
      <c r="A197" s="2">
        <v>196</v>
      </c>
      <c r="B197" s="2">
        <v>0</v>
      </c>
      <c r="C197" s="2">
        <v>3000</v>
      </c>
      <c r="D197" s="2">
        <v>0</v>
      </c>
      <c r="E197" s="2">
        <v>0</v>
      </c>
      <c r="F197" s="2">
        <v>1</v>
      </c>
      <c r="G197" s="2">
        <v>0</v>
      </c>
      <c r="H197" s="2">
        <v>0</v>
      </c>
      <c r="I197" s="2">
        <v>0</v>
      </c>
      <c r="J197" s="2">
        <v>63</v>
      </c>
      <c r="K197" s="2">
        <v>0</v>
      </c>
      <c r="L197" s="2">
        <v>0</v>
      </c>
      <c r="M197" s="2">
        <v>0</v>
      </c>
      <c r="N197" s="2">
        <v>0</v>
      </c>
      <c r="O197" s="2">
        <v>1</v>
      </c>
      <c r="P197" s="2">
        <v>1</v>
      </c>
      <c r="Q197" s="2">
        <v>0</v>
      </c>
      <c r="R197" s="2">
        <v>0</v>
      </c>
      <c r="S197" s="6"/>
      <c r="T197" s="7"/>
      <c r="U197" s="3"/>
    </row>
    <row r="198" spans="1:21">
      <c r="A198" s="2">
        <v>197</v>
      </c>
      <c r="B198" s="2">
        <v>0</v>
      </c>
      <c r="C198" s="2">
        <v>27000</v>
      </c>
      <c r="D198" s="2">
        <v>1</v>
      </c>
      <c r="E198" s="2">
        <v>0</v>
      </c>
      <c r="F198" s="2">
        <v>0</v>
      </c>
      <c r="G198" s="2">
        <v>1</v>
      </c>
      <c r="H198" s="2">
        <v>0</v>
      </c>
      <c r="I198" s="2">
        <v>0</v>
      </c>
      <c r="J198" s="2">
        <v>58</v>
      </c>
      <c r="K198" s="2">
        <v>0</v>
      </c>
      <c r="L198" s="2">
        <v>0</v>
      </c>
      <c r="M198" s="2">
        <v>1</v>
      </c>
      <c r="N198" s="2">
        <v>1</v>
      </c>
      <c r="O198" s="2">
        <v>1</v>
      </c>
      <c r="P198" s="2">
        <v>1</v>
      </c>
      <c r="Q198" s="2">
        <v>0</v>
      </c>
      <c r="R198" s="2">
        <v>0</v>
      </c>
      <c r="S198" s="6"/>
      <c r="T198" s="7"/>
      <c r="U198" s="3"/>
    </row>
    <row r="199" spans="1:21">
      <c r="A199" s="2">
        <v>198</v>
      </c>
      <c r="B199" s="2">
        <v>0</v>
      </c>
      <c r="C199" s="2">
        <v>8000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16</v>
      </c>
      <c r="K199" s="2">
        <v>0</v>
      </c>
      <c r="L199" s="2">
        <v>1</v>
      </c>
      <c r="M199" s="2">
        <v>0</v>
      </c>
      <c r="N199" s="2">
        <v>1</v>
      </c>
      <c r="O199" s="2">
        <v>1</v>
      </c>
      <c r="P199" s="2">
        <v>1</v>
      </c>
      <c r="Q199" s="2">
        <v>0</v>
      </c>
      <c r="R199" s="2">
        <v>0</v>
      </c>
      <c r="S199" s="6"/>
      <c r="T199" s="7"/>
      <c r="U199" s="3"/>
    </row>
    <row r="200" spans="1:21">
      <c r="A200" s="2">
        <v>199</v>
      </c>
      <c r="B200" s="2">
        <v>0</v>
      </c>
      <c r="C200" s="2">
        <v>52000</v>
      </c>
      <c r="D200" s="2">
        <v>1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21</v>
      </c>
      <c r="K200" s="2">
        <v>0</v>
      </c>
      <c r="L200" s="2">
        <v>0</v>
      </c>
      <c r="M200" s="2">
        <v>1</v>
      </c>
      <c r="N200" s="2">
        <v>1</v>
      </c>
      <c r="O200" s="2">
        <v>1</v>
      </c>
      <c r="P200" s="2">
        <v>0</v>
      </c>
      <c r="Q200" s="2">
        <v>0</v>
      </c>
      <c r="R200" s="2">
        <v>0</v>
      </c>
      <c r="S200" s="6"/>
      <c r="T200" s="7"/>
      <c r="U200" s="3"/>
    </row>
    <row r="201" spans="1:21">
      <c r="A201" s="2">
        <v>200</v>
      </c>
      <c r="B201" s="2">
        <v>0</v>
      </c>
      <c r="C201" s="2">
        <v>34000</v>
      </c>
      <c r="D201" s="2">
        <v>0</v>
      </c>
      <c r="E201" s="2">
        <v>1</v>
      </c>
      <c r="F201" s="2">
        <v>0</v>
      </c>
      <c r="G201" s="2">
        <v>1</v>
      </c>
      <c r="H201" s="2">
        <v>0</v>
      </c>
      <c r="I201" s="2">
        <v>0</v>
      </c>
      <c r="J201" s="2">
        <v>27</v>
      </c>
      <c r="K201" s="2">
        <v>0</v>
      </c>
      <c r="L201" s="2">
        <v>1</v>
      </c>
      <c r="M201" s="2">
        <v>0</v>
      </c>
      <c r="N201" s="2">
        <v>1</v>
      </c>
      <c r="O201" s="2">
        <v>1</v>
      </c>
      <c r="P201" s="2">
        <v>1</v>
      </c>
      <c r="Q201" s="2">
        <v>0</v>
      </c>
      <c r="R201" s="2">
        <v>0</v>
      </c>
      <c r="S201" s="6"/>
      <c r="T201" s="7"/>
      <c r="U201" s="3"/>
    </row>
    <row r="202" spans="1:21">
      <c r="A202" s="2">
        <v>201</v>
      </c>
      <c r="B202" s="2">
        <v>0</v>
      </c>
      <c r="C202" s="2">
        <v>10000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14</v>
      </c>
      <c r="K202" s="2">
        <v>0</v>
      </c>
      <c r="L202" s="2">
        <v>1</v>
      </c>
      <c r="M202" s="2">
        <v>0</v>
      </c>
      <c r="N202" s="2">
        <v>1</v>
      </c>
      <c r="O202" s="2">
        <v>0</v>
      </c>
      <c r="P202" s="2">
        <v>1</v>
      </c>
      <c r="Q202" s="2">
        <v>0</v>
      </c>
      <c r="R202" s="2">
        <v>0</v>
      </c>
      <c r="S202" s="6"/>
      <c r="T202" s="7"/>
      <c r="U202" s="3"/>
    </row>
    <row r="203" spans="1:21">
      <c r="A203" s="2">
        <v>202</v>
      </c>
      <c r="B203" s="2">
        <v>0</v>
      </c>
      <c r="C203" s="2">
        <v>32000</v>
      </c>
      <c r="D203" s="2">
        <v>0</v>
      </c>
      <c r="E203" s="2">
        <v>0</v>
      </c>
      <c r="F203" s="2">
        <v>0</v>
      </c>
      <c r="G203" s="2">
        <v>1</v>
      </c>
      <c r="H203" s="2">
        <v>0</v>
      </c>
      <c r="I203" s="2">
        <v>0</v>
      </c>
      <c r="J203" s="2">
        <v>12</v>
      </c>
      <c r="K203" s="2">
        <v>0</v>
      </c>
      <c r="L203" s="2">
        <v>0</v>
      </c>
      <c r="M203" s="2">
        <v>0</v>
      </c>
      <c r="N203" s="2">
        <v>0</v>
      </c>
      <c r="O203" s="2">
        <v>1</v>
      </c>
      <c r="P203" s="2">
        <v>1</v>
      </c>
      <c r="Q203" s="2">
        <v>0</v>
      </c>
      <c r="R203" s="2">
        <v>0</v>
      </c>
      <c r="S203" s="6"/>
      <c r="T203" s="7"/>
      <c r="U203" s="3"/>
    </row>
    <row r="204" spans="1:21">
      <c r="A204" s="2">
        <v>203</v>
      </c>
      <c r="B204" s="2">
        <v>0</v>
      </c>
      <c r="C204" s="2">
        <v>16000</v>
      </c>
      <c r="D204" s="2">
        <v>1</v>
      </c>
      <c r="E204" s="2">
        <v>0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0</v>
      </c>
      <c r="R204" s="2">
        <v>0</v>
      </c>
      <c r="S204" s="6"/>
      <c r="T204" s="7"/>
      <c r="U204" s="3"/>
    </row>
    <row r="205" spans="1:21">
      <c r="A205" s="2">
        <v>204</v>
      </c>
      <c r="B205" s="2">
        <v>0</v>
      </c>
      <c r="C205" s="2">
        <v>21000</v>
      </c>
      <c r="D205" s="2">
        <v>1</v>
      </c>
      <c r="E205" s="2">
        <v>0</v>
      </c>
      <c r="F205" s="2">
        <v>1</v>
      </c>
      <c r="G205" s="2">
        <v>1</v>
      </c>
      <c r="H205" s="2">
        <v>0</v>
      </c>
      <c r="I205" s="2">
        <v>0</v>
      </c>
      <c r="J205" s="2">
        <v>3</v>
      </c>
      <c r="K205" s="2">
        <v>0</v>
      </c>
      <c r="L205" s="2">
        <v>0</v>
      </c>
      <c r="M205" s="2">
        <v>0</v>
      </c>
      <c r="N205" s="2">
        <v>0</v>
      </c>
      <c r="O205" s="2">
        <v>1</v>
      </c>
      <c r="P205" s="2">
        <v>1</v>
      </c>
      <c r="Q205" s="2">
        <v>0</v>
      </c>
      <c r="R205" s="2">
        <v>0</v>
      </c>
      <c r="S205" s="6"/>
      <c r="T205" s="7"/>
      <c r="U205" s="3"/>
    </row>
    <row r="206" spans="1:21">
      <c r="A206" s="2">
        <v>205</v>
      </c>
      <c r="B206" s="2">
        <v>0</v>
      </c>
      <c r="C206" s="2">
        <v>49000</v>
      </c>
      <c r="D206" s="2">
        <v>1</v>
      </c>
      <c r="E206" s="2">
        <v>0</v>
      </c>
      <c r="F206" s="2">
        <v>1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1</v>
      </c>
      <c r="O206" s="2">
        <v>1</v>
      </c>
      <c r="P206" s="2">
        <v>1</v>
      </c>
      <c r="Q206" s="2">
        <v>0</v>
      </c>
      <c r="R206" s="2">
        <v>0</v>
      </c>
      <c r="S206" s="6"/>
      <c r="T206" s="7"/>
      <c r="U206" s="3"/>
    </row>
    <row r="207" spans="1:21">
      <c r="A207" s="2">
        <v>206</v>
      </c>
      <c r="B207" s="2">
        <v>1</v>
      </c>
      <c r="C207" s="2">
        <v>75000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1</v>
      </c>
      <c r="K207" s="2">
        <v>0</v>
      </c>
      <c r="L207" s="2">
        <v>1</v>
      </c>
      <c r="M207" s="2">
        <v>1</v>
      </c>
      <c r="N207" s="2">
        <v>1</v>
      </c>
      <c r="O207" s="2">
        <v>1</v>
      </c>
      <c r="P207" s="2">
        <v>0</v>
      </c>
      <c r="Q207" s="2">
        <v>0</v>
      </c>
      <c r="R207" s="2">
        <v>1</v>
      </c>
      <c r="S207" s="6"/>
      <c r="T207" s="7"/>
      <c r="U207" s="3"/>
    </row>
    <row r="208" spans="1:21">
      <c r="A208" s="2">
        <v>207</v>
      </c>
      <c r="B208" s="2">
        <v>0</v>
      </c>
      <c r="C208" s="2">
        <v>27000</v>
      </c>
      <c r="D208" s="2">
        <v>0</v>
      </c>
      <c r="E208" s="2">
        <v>0</v>
      </c>
      <c r="F208" s="2">
        <v>1</v>
      </c>
      <c r="G208" s="2">
        <v>1</v>
      </c>
      <c r="H208" s="2">
        <v>0</v>
      </c>
      <c r="I208" s="2">
        <v>0</v>
      </c>
      <c r="J208" s="2">
        <v>2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 s="6"/>
      <c r="T208" s="7"/>
      <c r="U208" s="3"/>
    </row>
    <row r="209" spans="1:21">
      <c r="A209" s="2">
        <v>208</v>
      </c>
      <c r="B209" s="2">
        <v>0</v>
      </c>
      <c r="C209" s="2">
        <v>9000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1</v>
      </c>
      <c r="J209" s="2">
        <v>3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6"/>
      <c r="T209" s="7"/>
      <c r="U209" s="3"/>
    </row>
    <row r="210" spans="1:21">
      <c r="A210" s="2">
        <v>209</v>
      </c>
      <c r="B210" s="2">
        <v>0</v>
      </c>
      <c r="C210" s="2">
        <v>9000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5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6"/>
      <c r="T210" s="7"/>
      <c r="U210" s="3"/>
    </row>
    <row r="211" spans="1:21">
      <c r="A211" s="2">
        <v>210</v>
      </c>
      <c r="B211" s="2">
        <v>1</v>
      </c>
      <c r="C211" s="2">
        <v>49000</v>
      </c>
      <c r="D211" s="2">
        <v>1</v>
      </c>
      <c r="E211" s="2">
        <v>1</v>
      </c>
      <c r="F211" s="2">
        <v>0</v>
      </c>
      <c r="G211" s="2">
        <v>0</v>
      </c>
      <c r="H211" s="2">
        <v>0</v>
      </c>
      <c r="I211" s="2">
        <v>0</v>
      </c>
      <c r="J211" s="2">
        <v>25</v>
      </c>
      <c r="K211" s="2">
        <v>1</v>
      </c>
      <c r="L211" s="2">
        <v>1</v>
      </c>
      <c r="M211" s="2">
        <v>1</v>
      </c>
      <c r="N211" s="2">
        <v>1</v>
      </c>
      <c r="O211" s="2">
        <v>0</v>
      </c>
      <c r="P211" s="2">
        <v>1</v>
      </c>
      <c r="Q211" s="2">
        <v>0</v>
      </c>
      <c r="R211" s="2">
        <v>0</v>
      </c>
      <c r="S211" s="6"/>
      <c r="T211" s="7"/>
      <c r="U211" s="3"/>
    </row>
    <row r="212" spans="1:21">
      <c r="A212" s="2">
        <v>211</v>
      </c>
      <c r="B212" s="2">
        <v>0</v>
      </c>
      <c r="C212" s="2">
        <v>48000</v>
      </c>
      <c r="D212" s="2">
        <v>1</v>
      </c>
      <c r="E212" s="2">
        <v>0</v>
      </c>
      <c r="F212" s="2">
        <v>0</v>
      </c>
      <c r="G212" s="2">
        <v>1</v>
      </c>
      <c r="H212" s="2">
        <v>0</v>
      </c>
      <c r="I212" s="2">
        <v>0</v>
      </c>
      <c r="J212" s="2">
        <v>5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1</v>
      </c>
      <c r="Q212" s="2">
        <v>0</v>
      </c>
      <c r="R212" s="2">
        <v>0</v>
      </c>
      <c r="S212" s="6"/>
      <c r="T212" s="7"/>
      <c r="U212" s="3"/>
    </row>
    <row r="213" spans="1:21">
      <c r="A213" s="2">
        <v>212</v>
      </c>
      <c r="B213" s="2">
        <v>1</v>
      </c>
      <c r="C213" s="2">
        <v>61000</v>
      </c>
      <c r="D213" s="2">
        <v>1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22</v>
      </c>
      <c r="K213" s="2">
        <v>0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>
        <v>0</v>
      </c>
      <c r="R213" s="2">
        <v>0</v>
      </c>
      <c r="S213" s="6"/>
      <c r="T213" s="7"/>
      <c r="U213" s="3"/>
    </row>
    <row r="214" spans="1:21">
      <c r="A214" s="2">
        <v>213</v>
      </c>
      <c r="B214" s="2">
        <v>0</v>
      </c>
      <c r="C214" s="2">
        <v>15000</v>
      </c>
      <c r="D214" s="2">
        <v>0</v>
      </c>
      <c r="E214" s="2">
        <v>1</v>
      </c>
      <c r="F214" s="2">
        <v>0</v>
      </c>
      <c r="G214" s="2">
        <v>0</v>
      </c>
      <c r="H214" s="2">
        <v>1</v>
      </c>
      <c r="I214" s="2">
        <v>0</v>
      </c>
      <c r="J214" s="2">
        <v>20</v>
      </c>
      <c r="K214" s="2">
        <v>0</v>
      </c>
      <c r="L214" s="2">
        <v>0</v>
      </c>
      <c r="M214" s="2">
        <v>1</v>
      </c>
      <c r="N214" s="2">
        <v>1</v>
      </c>
      <c r="O214" s="2">
        <v>1</v>
      </c>
      <c r="P214" s="2">
        <v>1</v>
      </c>
      <c r="Q214" s="2">
        <v>0</v>
      </c>
      <c r="R214" s="2">
        <v>0</v>
      </c>
      <c r="S214" s="6"/>
      <c r="T214" s="7"/>
      <c r="U214" s="3"/>
    </row>
    <row r="215" spans="1:21">
      <c r="A215" s="2">
        <v>214</v>
      </c>
      <c r="B215" s="2">
        <v>0</v>
      </c>
      <c r="C215" s="2">
        <v>31000</v>
      </c>
      <c r="D215" s="2">
        <v>1</v>
      </c>
      <c r="E215" s="2">
        <v>1</v>
      </c>
      <c r="F215" s="2">
        <v>1</v>
      </c>
      <c r="G215" s="2">
        <v>0</v>
      </c>
      <c r="H215" s="2">
        <v>0</v>
      </c>
      <c r="I215" s="2">
        <v>1</v>
      </c>
      <c r="J215" s="2">
        <v>16</v>
      </c>
      <c r="K215" s="2">
        <v>1</v>
      </c>
      <c r="L215" s="2">
        <v>0</v>
      </c>
      <c r="M215" s="2">
        <v>1</v>
      </c>
      <c r="N215" s="2">
        <v>1</v>
      </c>
      <c r="O215" s="2">
        <v>1</v>
      </c>
      <c r="P215" s="2">
        <v>1</v>
      </c>
      <c r="Q215" s="2">
        <v>0</v>
      </c>
      <c r="R215" s="2">
        <v>0</v>
      </c>
      <c r="S215" s="6"/>
      <c r="T215" s="7"/>
      <c r="U215" s="3"/>
    </row>
    <row r="216" spans="1:21">
      <c r="A216" s="2">
        <v>215</v>
      </c>
      <c r="B216" s="2">
        <v>0</v>
      </c>
      <c r="C216" s="2">
        <v>31000</v>
      </c>
      <c r="D216" s="2">
        <v>1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15</v>
      </c>
      <c r="K216" s="2">
        <v>0</v>
      </c>
      <c r="L216" s="2">
        <v>0</v>
      </c>
      <c r="M216" s="2">
        <v>0</v>
      </c>
      <c r="N216" s="2">
        <v>1</v>
      </c>
      <c r="O216" s="2">
        <v>1</v>
      </c>
      <c r="P216" s="2">
        <v>1</v>
      </c>
      <c r="Q216" s="2">
        <v>0</v>
      </c>
      <c r="R216" s="2">
        <v>0</v>
      </c>
      <c r="S216" s="6"/>
      <c r="T216" s="7"/>
      <c r="U216" s="3"/>
    </row>
    <row r="217" spans="1:21">
      <c r="A217" s="2">
        <v>216</v>
      </c>
      <c r="B217" s="2">
        <v>0</v>
      </c>
      <c r="C217" s="2">
        <v>9000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21</v>
      </c>
      <c r="K217" s="2">
        <v>0</v>
      </c>
      <c r="L217" s="2">
        <v>0</v>
      </c>
      <c r="M217" s="2">
        <v>0</v>
      </c>
      <c r="N217" s="2">
        <v>1</v>
      </c>
      <c r="O217" s="2">
        <v>1</v>
      </c>
      <c r="P217" s="2">
        <v>1</v>
      </c>
      <c r="Q217" s="2">
        <v>0</v>
      </c>
      <c r="R217" s="2">
        <v>0</v>
      </c>
      <c r="S217" s="6"/>
      <c r="T217" s="7"/>
      <c r="U217" s="3"/>
    </row>
    <row r="218" spans="1:21">
      <c r="A218" s="2">
        <v>217</v>
      </c>
      <c r="B218" s="2">
        <v>0</v>
      </c>
      <c r="C218" s="2">
        <v>10000</v>
      </c>
      <c r="D218" s="2">
        <v>1</v>
      </c>
      <c r="E218" s="2">
        <v>0</v>
      </c>
      <c r="F218" s="2">
        <v>0</v>
      </c>
      <c r="G218" s="2">
        <v>0</v>
      </c>
      <c r="H218" s="2">
        <v>0</v>
      </c>
      <c r="I218" s="2">
        <v>1</v>
      </c>
      <c r="J218" s="2">
        <v>18</v>
      </c>
      <c r="K218" s="2">
        <v>0</v>
      </c>
      <c r="L218" s="2">
        <v>0</v>
      </c>
      <c r="M218" s="2">
        <v>0</v>
      </c>
      <c r="N218" s="2">
        <v>1</v>
      </c>
      <c r="O218" s="2">
        <v>1</v>
      </c>
      <c r="P218" s="2">
        <v>1</v>
      </c>
      <c r="Q218" s="2">
        <v>0</v>
      </c>
      <c r="R218" s="2">
        <v>0</v>
      </c>
      <c r="S218" s="6"/>
      <c r="T218" s="7"/>
      <c r="U218" s="3"/>
    </row>
    <row r="219" spans="1:21">
      <c r="A219" s="2">
        <v>218</v>
      </c>
      <c r="B219" s="2">
        <v>0</v>
      </c>
      <c r="C219" s="2">
        <v>12000</v>
      </c>
      <c r="D219" s="2">
        <v>0</v>
      </c>
      <c r="E219" s="2">
        <v>0</v>
      </c>
      <c r="F219" s="2">
        <v>1</v>
      </c>
      <c r="G219" s="2">
        <v>1</v>
      </c>
      <c r="H219" s="2">
        <v>0</v>
      </c>
      <c r="I219" s="2">
        <v>0</v>
      </c>
      <c r="J219" s="2">
        <v>8</v>
      </c>
      <c r="K219" s="2">
        <v>0</v>
      </c>
      <c r="L219" s="2">
        <v>0</v>
      </c>
      <c r="M219" s="2">
        <v>0</v>
      </c>
      <c r="N219" s="2">
        <v>0</v>
      </c>
      <c r="O219" s="2">
        <v>1</v>
      </c>
      <c r="P219" s="2">
        <v>1</v>
      </c>
      <c r="Q219" s="2">
        <v>0</v>
      </c>
      <c r="R219" s="2">
        <v>0</v>
      </c>
      <c r="S219" s="6"/>
      <c r="T219" s="7"/>
      <c r="U219" s="3"/>
    </row>
    <row r="220" spans="1:21">
      <c r="A220" s="2">
        <v>219</v>
      </c>
      <c r="B220" s="2">
        <v>0</v>
      </c>
      <c r="C220" s="2">
        <v>11000</v>
      </c>
      <c r="D220" s="2">
        <v>1</v>
      </c>
      <c r="E220" s="2">
        <v>0</v>
      </c>
      <c r="F220" s="2">
        <v>0</v>
      </c>
      <c r="G220" s="2">
        <v>1</v>
      </c>
      <c r="H220" s="2">
        <v>0</v>
      </c>
      <c r="I220" s="2">
        <v>0</v>
      </c>
      <c r="J220" s="2">
        <v>13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1</v>
      </c>
      <c r="Q220" s="2">
        <v>0</v>
      </c>
      <c r="R220" s="2">
        <v>0</v>
      </c>
      <c r="S220" s="6"/>
      <c r="T220" s="7"/>
      <c r="U220" s="3"/>
    </row>
    <row r="221" spans="1:21">
      <c r="A221" s="2">
        <v>220</v>
      </c>
      <c r="B221" s="2">
        <v>0</v>
      </c>
      <c r="C221" s="2">
        <v>12000</v>
      </c>
      <c r="D221" s="2">
        <v>0</v>
      </c>
      <c r="E221" s="2">
        <v>0</v>
      </c>
      <c r="F221" s="2">
        <v>0</v>
      </c>
      <c r="G221" s="2">
        <v>1</v>
      </c>
      <c r="H221" s="2">
        <v>0</v>
      </c>
      <c r="I221" s="2">
        <v>0</v>
      </c>
      <c r="J221" s="2">
        <v>23</v>
      </c>
      <c r="K221" s="2">
        <v>0</v>
      </c>
      <c r="L221" s="2">
        <v>0</v>
      </c>
      <c r="M221" s="2">
        <v>0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  <c r="S221" s="6"/>
      <c r="T221" s="7"/>
      <c r="U221" s="3"/>
    </row>
    <row r="222" spans="1:21">
      <c r="A222" s="2">
        <v>221</v>
      </c>
      <c r="B222" s="2">
        <v>0</v>
      </c>
      <c r="C222" s="2">
        <v>14000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8</v>
      </c>
      <c r="K222" s="2">
        <v>0</v>
      </c>
      <c r="L222" s="2">
        <v>0</v>
      </c>
      <c r="M222" s="2">
        <v>0</v>
      </c>
      <c r="N222" s="2">
        <v>0</v>
      </c>
      <c r="O222" s="2">
        <v>1</v>
      </c>
      <c r="P222" s="2">
        <v>1</v>
      </c>
      <c r="Q222" s="2">
        <v>0</v>
      </c>
      <c r="R222" s="2">
        <v>1</v>
      </c>
      <c r="S222" s="6"/>
      <c r="T222" s="7"/>
      <c r="U222" s="3"/>
    </row>
    <row r="223" spans="1:21">
      <c r="A223" s="2">
        <v>222</v>
      </c>
      <c r="B223" s="2">
        <v>0</v>
      </c>
      <c r="C223" s="2">
        <v>7000</v>
      </c>
      <c r="D223" s="2">
        <v>1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10</v>
      </c>
      <c r="K223" s="2">
        <v>0</v>
      </c>
      <c r="L223" s="2">
        <v>0</v>
      </c>
      <c r="M223" s="2">
        <v>0</v>
      </c>
      <c r="N223" s="2">
        <v>0</v>
      </c>
      <c r="O223" s="2">
        <v>1</v>
      </c>
      <c r="P223" s="2">
        <v>1</v>
      </c>
      <c r="Q223" s="2">
        <v>0</v>
      </c>
      <c r="R223" s="2">
        <v>0</v>
      </c>
      <c r="S223" s="6"/>
      <c r="T223" s="7"/>
      <c r="U223" s="3"/>
    </row>
    <row r="224" spans="1:21">
      <c r="A224" s="2">
        <v>223</v>
      </c>
      <c r="B224" s="2">
        <v>0</v>
      </c>
      <c r="C224" s="2">
        <v>23000</v>
      </c>
      <c r="D224" s="2">
        <v>0</v>
      </c>
      <c r="E224" s="2">
        <v>0</v>
      </c>
      <c r="F224" s="2">
        <v>1</v>
      </c>
      <c r="G224" s="2">
        <v>0</v>
      </c>
      <c r="H224" s="2">
        <v>0</v>
      </c>
      <c r="I224" s="2">
        <v>0</v>
      </c>
      <c r="J224" s="2">
        <v>4</v>
      </c>
      <c r="K224" s="2">
        <v>0</v>
      </c>
      <c r="L224" s="2">
        <v>0</v>
      </c>
      <c r="M224" s="2">
        <v>0</v>
      </c>
      <c r="N224" s="2">
        <v>0</v>
      </c>
      <c r="O224" s="2">
        <v>1</v>
      </c>
      <c r="P224" s="2">
        <v>1</v>
      </c>
      <c r="Q224" s="2">
        <v>0</v>
      </c>
      <c r="R224" s="2">
        <v>1</v>
      </c>
      <c r="S224" s="6"/>
      <c r="T224" s="7"/>
      <c r="U224" s="3"/>
    </row>
    <row r="225" spans="1:21">
      <c r="A225" s="2">
        <v>224</v>
      </c>
      <c r="B225" s="2">
        <v>0</v>
      </c>
      <c r="C225" s="2">
        <v>28000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33</v>
      </c>
      <c r="K225" s="2">
        <v>0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6"/>
      <c r="T225" s="7"/>
      <c r="U225" s="3"/>
    </row>
    <row r="226" spans="1:21">
      <c r="A226" s="2">
        <v>225</v>
      </c>
      <c r="B226" s="2">
        <v>0</v>
      </c>
      <c r="C226" s="2">
        <v>10000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1</v>
      </c>
      <c r="K226" s="2">
        <v>0</v>
      </c>
      <c r="L226" s="2">
        <v>1</v>
      </c>
      <c r="M226" s="2">
        <v>0</v>
      </c>
      <c r="N226" s="2">
        <v>0</v>
      </c>
      <c r="O226" s="2">
        <v>1</v>
      </c>
      <c r="P226" s="2">
        <v>1</v>
      </c>
      <c r="Q226" s="2">
        <v>0</v>
      </c>
      <c r="R226" s="2">
        <v>0</v>
      </c>
      <c r="S226" s="6"/>
      <c r="T226" s="7"/>
      <c r="U226" s="3"/>
    </row>
    <row r="227" spans="1:21">
      <c r="A227" s="2">
        <v>226</v>
      </c>
      <c r="B227" s="2">
        <v>0</v>
      </c>
      <c r="C227" s="2">
        <v>38000</v>
      </c>
      <c r="D227" s="2">
        <v>1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56</v>
      </c>
      <c r="K227" s="2">
        <v>0</v>
      </c>
      <c r="L227" s="2">
        <v>1</v>
      </c>
      <c r="M227" s="2">
        <v>1</v>
      </c>
      <c r="N227" s="2">
        <v>1</v>
      </c>
      <c r="O227" s="2">
        <v>0</v>
      </c>
      <c r="P227" s="2">
        <v>1</v>
      </c>
      <c r="Q227" s="2">
        <v>0</v>
      </c>
      <c r="R227" s="2">
        <v>0</v>
      </c>
      <c r="S227" s="6"/>
      <c r="T227" s="7"/>
      <c r="U227" s="3"/>
    </row>
    <row r="228" spans="1:21">
      <c r="A228" s="2">
        <v>227</v>
      </c>
      <c r="B228" s="2">
        <v>1</v>
      </c>
      <c r="C228" s="2">
        <v>67000</v>
      </c>
      <c r="D228" s="2">
        <v>1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9</v>
      </c>
      <c r="K228" s="2">
        <v>0</v>
      </c>
      <c r="L228" s="2">
        <v>1</v>
      </c>
      <c r="M228" s="2">
        <v>0</v>
      </c>
      <c r="N228" s="2">
        <v>1</v>
      </c>
      <c r="O228" s="2">
        <v>1</v>
      </c>
      <c r="P228" s="2">
        <v>1</v>
      </c>
      <c r="Q228" s="2">
        <v>0</v>
      </c>
      <c r="R228" s="2">
        <v>0</v>
      </c>
      <c r="S228" s="6"/>
      <c r="T228" s="7"/>
      <c r="U228" s="3"/>
    </row>
    <row r="229" spans="1:21">
      <c r="A229" s="2">
        <v>228</v>
      </c>
      <c r="B229" s="2">
        <v>0</v>
      </c>
      <c r="C229" s="2">
        <v>38000</v>
      </c>
      <c r="D229" s="2">
        <v>1</v>
      </c>
      <c r="E229" s="2">
        <v>0</v>
      </c>
      <c r="F229" s="2">
        <v>1</v>
      </c>
      <c r="G229" s="2">
        <v>1</v>
      </c>
      <c r="H229" s="2">
        <v>0</v>
      </c>
      <c r="I229" s="2">
        <v>0</v>
      </c>
      <c r="J229" s="2">
        <v>2</v>
      </c>
      <c r="K229" s="2">
        <v>0</v>
      </c>
      <c r="L229" s="2">
        <v>0</v>
      </c>
      <c r="M229" s="2">
        <v>1</v>
      </c>
      <c r="N229" s="2">
        <v>1</v>
      </c>
      <c r="O229" s="2">
        <v>1</v>
      </c>
      <c r="P229" s="2">
        <v>1</v>
      </c>
      <c r="Q229" s="2">
        <v>0</v>
      </c>
      <c r="R229" s="2">
        <v>0</v>
      </c>
      <c r="S229" s="6"/>
      <c r="T229" s="7"/>
      <c r="U229" s="3"/>
    </row>
    <row r="230" spans="1:21">
      <c r="A230" s="2">
        <v>229</v>
      </c>
      <c r="B230" s="2">
        <v>0</v>
      </c>
      <c r="C230" s="2">
        <v>7000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5</v>
      </c>
      <c r="K230" s="2">
        <v>0</v>
      </c>
      <c r="L230" s="2">
        <v>1</v>
      </c>
      <c r="M230" s="2">
        <v>0</v>
      </c>
      <c r="N230" s="2">
        <v>1</v>
      </c>
      <c r="O230" s="2">
        <v>0</v>
      </c>
      <c r="P230" s="2">
        <v>1</v>
      </c>
      <c r="Q230" s="2">
        <v>0</v>
      </c>
      <c r="R230" s="2">
        <v>0</v>
      </c>
      <c r="S230" s="6"/>
      <c r="T230" s="7"/>
      <c r="U230" s="3"/>
    </row>
    <row r="231" spans="1:21">
      <c r="A231" s="2">
        <v>230</v>
      </c>
      <c r="B231" s="2">
        <v>0</v>
      </c>
      <c r="C231" s="2">
        <v>18000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8</v>
      </c>
      <c r="K231" s="2">
        <v>0</v>
      </c>
      <c r="L231" s="2">
        <v>0</v>
      </c>
      <c r="M231" s="2">
        <v>0</v>
      </c>
      <c r="N231" s="2">
        <v>1</v>
      </c>
      <c r="O231" s="2">
        <v>1</v>
      </c>
      <c r="P231" s="2">
        <v>1</v>
      </c>
      <c r="Q231" s="2">
        <v>1</v>
      </c>
      <c r="R231" s="2">
        <v>0</v>
      </c>
      <c r="S231" s="6"/>
      <c r="T231" s="7"/>
      <c r="U231" s="3"/>
    </row>
    <row r="232" spans="1:21">
      <c r="A232" s="2">
        <v>231</v>
      </c>
      <c r="B232" s="2">
        <v>0</v>
      </c>
      <c r="C232" s="2">
        <v>50000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34</v>
      </c>
      <c r="K232" s="2">
        <v>0</v>
      </c>
      <c r="L232" s="2">
        <v>1</v>
      </c>
      <c r="M232" s="2">
        <v>1</v>
      </c>
      <c r="N232" s="2">
        <v>1</v>
      </c>
      <c r="O232" s="2">
        <v>0</v>
      </c>
      <c r="P232" s="2">
        <v>1</v>
      </c>
      <c r="Q232" s="2">
        <v>0</v>
      </c>
      <c r="R232" s="2">
        <v>0</v>
      </c>
      <c r="S232" s="6"/>
      <c r="T232" s="7"/>
      <c r="U232" s="3"/>
    </row>
    <row r="233" spans="1:21">
      <c r="A233" s="2">
        <v>232</v>
      </c>
      <c r="B233" s="2">
        <v>0</v>
      </c>
      <c r="C233" s="2">
        <v>23000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2">
        <v>1</v>
      </c>
      <c r="P233" s="2">
        <v>1</v>
      </c>
      <c r="Q233" s="2">
        <v>0</v>
      </c>
      <c r="R233" s="2">
        <v>0</v>
      </c>
      <c r="S233" s="6"/>
      <c r="T233" s="7"/>
      <c r="U233" s="3"/>
    </row>
    <row r="234" spans="1:21">
      <c r="A234" s="2">
        <v>233</v>
      </c>
      <c r="B234" s="2">
        <v>0</v>
      </c>
      <c r="C234" s="2">
        <v>6000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21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1</v>
      </c>
      <c r="Q234" s="2">
        <v>0</v>
      </c>
      <c r="R234" s="2">
        <v>0</v>
      </c>
      <c r="S234" s="6"/>
      <c r="T234" s="7"/>
      <c r="U234" s="3"/>
    </row>
    <row r="235" spans="1:21">
      <c r="A235" s="2">
        <v>234</v>
      </c>
      <c r="B235" s="2">
        <v>1</v>
      </c>
      <c r="C235" s="2">
        <v>75000</v>
      </c>
      <c r="D235" s="2">
        <v>1</v>
      </c>
      <c r="E235" s="2">
        <v>1</v>
      </c>
      <c r="F235" s="2">
        <v>1</v>
      </c>
      <c r="G235" s="2">
        <v>1</v>
      </c>
      <c r="H235" s="2">
        <v>0</v>
      </c>
      <c r="I235" s="2">
        <v>0</v>
      </c>
      <c r="J235" s="2">
        <v>46</v>
      </c>
      <c r="K235" s="2">
        <v>1</v>
      </c>
      <c r="L235" s="2">
        <v>0</v>
      </c>
      <c r="M235" s="2">
        <v>1</v>
      </c>
      <c r="N235" s="2">
        <v>1</v>
      </c>
      <c r="O235" s="2">
        <v>1</v>
      </c>
      <c r="P235" s="2">
        <v>1</v>
      </c>
      <c r="Q235" s="2">
        <v>0</v>
      </c>
      <c r="R235" s="2">
        <v>0</v>
      </c>
      <c r="S235" s="6"/>
      <c r="T235" s="7"/>
      <c r="U235" s="3"/>
    </row>
    <row r="236" spans="1:21">
      <c r="A236" s="2">
        <v>235</v>
      </c>
      <c r="B236" s="2">
        <v>0</v>
      </c>
      <c r="C236" s="2">
        <v>41000</v>
      </c>
      <c r="D236" s="2">
        <v>0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2">
        <v>2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6"/>
      <c r="T236" s="7"/>
      <c r="U236" s="3"/>
    </row>
    <row r="237" spans="1:21">
      <c r="A237" s="2">
        <v>236</v>
      </c>
      <c r="B237" s="2">
        <v>0</v>
      </c>
      <c r="C237" s="2">
        <v>48000</v>
      </c>
      <c r="D237" s="2">
        <v>1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23</v>
      </c>
      <c r="K237" s="2">
        <v>1</v>
      </c>
      <c r="L237" s="2">
        <v>0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0</v>
      </c>
      <c r="S237" s="6"/>
      <c r="T237" s="7"/>
      <c r="U237" s="3"/>
    </row>
    <row r="238" spans="1:21">
      <c r="A238" s="2">
        <v>237</v>
      </c>
      <c r="B238" s="2">
        <v>0</v>
      </c>
      <c r="C238" s="2">
        <v>54000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36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0</v>
      </c>
      <c r="R238" s="2">
        <v>0</v>
      </c>
      <c r="S238" s="6"/>
      <c r="T238" s="7"/>
      <c r="U238" s="3"/>
    </row>
    <row r="239" spans="1:21">
      <c r="A239" s="2">
        <v>238</v>
      </c>
      <c r="B239" s="2">
        <v>0</v>
      </c>
      <c r="C239" s="2">
        <v>41000</v>
      </c>
      <c r="D239" s="2">
        <v>1</v>
      </c>
      <c r="E239" s="2">
        <v>1</v>
      </c>
      <c r="F239" s="2">
        <v>0</v>
      </c>
      <c r="G239" s="2">
        <v>0</v>
      </c>
      <c r="H239" s="2">
        <v>0</v>
      </c>
      <c r="I239" s="2">
        <v>0</v>
      </c>
      <c r="J239" s="2">
        <v>16</v>
      </c>
      <c r="K239" s="2">
        <v>0</v>
      </c>
      <c r="L239" s="2">
        <v>0</v>
      </c>
      <c r="M239" s="2">
        <v>1</v>
      </c>
      <c r="N239" s="2">
        <v>1</v>
      </c>
      <c r="O239" s="2">
        <v>1</v>
      </c>
      <c r="P239" s="2">
        <v>1</v>
      </c>
      <c r="Q239" s="2">
        <v>0</v>
      </c>
      <c r="R239" s="2">
        <v>0</v>
      </c>
      <c r="S239" s="6"/>
      <c r="T239" s="7"/>
      <c r="U239" s="3"/>
    </row>
    <row r="240" spans="1:21">
      <c r="A240" s="2">
        <v>239</v>
      </c>
      <c r="B240" s="2">
        <v>0</v>
      </c>
      <c r="C240" s="2">
        <v>30000</v>
      </c>
      <c r="D240" s="2">
        <v>1</v>
      </c>
      <c r="E240" s="2">
        <v>0</v>
      </c>
      <c r="F240" s="2">
        <v>0</v>
      </c>
      <c r="G240" s="2">
        <v>0</v>
      </c>
      <c r="H240" s="2">
        <v>1</v>
      </c>
      <c r="I240" s="2">
        <v>0</v>
      </c>
      <c r="J240" s="2">
        <v>3</v>
      </c>
      <c r="K240" s="2">
        <v>0</v>
      </c>
      <c r="L240" s="2">
        <v>0</v>
      </c>
      <c r="M240" s="2">
        <v>1</v>
      </c>
      <c r="N240" s="2">
        <v>0</v>
      </c>
      <c r="O240" s="2">
        <v>0</v>
      </c>
      <c r="P240" s="2">
        <v>1</v>
      </c>
      <c r="Q240" s="2">
        <v>1</v>
      </c>
      <c r="R240" s="2">
        <v>0</v>
      </c>
      <c r="S240" s="6"/>
      <c r="T240" s="7"/>
      <c r="U240" s="3"/>
    </row>
    <row r="241" spans="1:21">
      <c r="A241" s="2">
        <v>240</v>
      </c>
      <c r="B241" s="2">
        <v>1</v>
      </c>
      <c r="C241" s="2">
        <v>75000</v>
      </c>
      <c r="D241" s="2">
        <v>1</v>
      </c>
      <c r="E241" s="2">
        <v>0</v>
      </c>
      <c r="F241" s="2">
        <v>0</v>
      </c>
      <c r="G241" s="2">
        <v>1</v>
      </c>
      <c r="H241" s="2">
        <v>0</v>
      </c>
      <c r="I241" s="2">
        <v>0</v>
      </c>
      <c r="J241" s="2">
        <v>43</v>
      </c>
      <c r="K241" s="2">
        <v>0</v>
      </c>
      <c r="L241" s="2">
        <v>0</v>
      </c>
      <c r="M241" s="2">
        <v>1</v>
      </c>
      <c r="N241" s="2">
        <v>1</v>
      </c>
      <c r="O241" s="2">
        <v>1</v>
      </c>
      <c r="P241" s="2">
        <v>1</v>
      </c>
      <c r="Q241" s="2">
        <v>0</v>
      </c>
      <c r="R241" s="2">
        <v>1</v>
      </c>
      <c r="S241" s="6"/>
      <c r="T241" s="7"/>
      <c r="U241" s="3"/>
    </row>
    <row r="242" spans="1:21">
      <c r="A242" s="2">
        <v>241</v>
      </c>
      <c r="B242" s="2">
        <v>0</v>
      </c>
      <c r="C242" s="2">
        <v>27000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4</v>
      </c>
      <c r="K242" s="2">
        <v>0</v>
      </c>
      <c r="L242" s="2">
        <v>0</v>
      </c>
      <c r="M242" s="2">
        <v>0</v>
      </c>
      <c r="N242" s="2">
        <v>0</v>
      </c>
      <c r="O242" s="2">
        <v>1</v>
      </c>
      <c r="P242" s="2">
        <v>1</v>
      </c>
      <c r="Q242" s="2">
        <v>0</v>
      </c>
      <c r="R242" s="2">
        <v>0</v>
      </c>
      <c r="S242" s="6"/>
      <c r="T242" s="7"/>
      <c r="U242" s="3"/>
    </row>
    <row r="243" spans="1:21">
      <c r="A243" s="2">
        <v>242</v>
      </c>
      <c r="B243" s="2">
        <v>0</v>
      </c>
      <c r="C243" s="2">
        <v>45000</v>
      </c>
      <c r="D243" s="2">
        <v>1</v>
      </c>
      <c r="E243" s="2">
        <v>1</v>
      </c>
      <c r="F243" s="2">
        <v>0</v>
      </c>
      <c r="G243" s="2">
        <v>0</v>
      </c>
      <c r="H243" s="2">
        <v>0</v>
      </c>
      <c r="I243" s="2">
        <v>0</v>
      </c>
      <c r="J243" s="2">
        <v>27</v>
      </c>
      <c r="K243" s="2">
        <v>1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0</v>
      </c>
      <c r="R243" s="2">
        <v>0</v>
      </c>
      <c r="S243" s="6"/>
      <c r="T243" s="7"/>
      <c r="U243" s="3"/>
    </row>
    <row r="244" spans="1:21">
      <c r="A244" s="2">
        <v>243</v>
      </c>
      <c r="B244" s="2">
        <v>0</v>
      </c>
      <c r="C244" s="2">
        <v>2000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19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  <c r="P244" s="2">
        <v>1</v>
      </c>
      <c r="Q244" s="2">
        <v>0</v>
      </c>
      <c r="R244" s="2">
        <v>0</v>
      </c>
      <c r="S244" s="6"/>
      <c r="T244" s="7"/>
      <c r="U244" s="3"/>
    </row>
    <row r="245" spans="1:21">
      <c r="A245" s="2">
        <v>244</v>
      </c>
      <c r="B245" s="2">
        <v>0</v>
      </c>
      <c r="C245" s="2">
        <v>20000</v>
      </c>
      <c r="D245" s="2">
        <v>1</v>
      </c>
      <c r="E245" s="2">
        <v>0</v>
      </c>
      <c r="F245" s="2">
        <v>0</v>
      </c>
      <c r="G245" s="2">
        <v>0</v>
      </c>
      <c r="H245" s="2">
        <v>1</v>
      </c>
      <c r="I245" s="2">
        <v>0</v>
      </c>
      <c r="J245" s="2">
        <v>53</v>
      </c>
      <c r="K245" s="2">
        <v>0</v>
      </c>
      <c r="L245" s="2">
        <v>0</v>
      </c>
      <c r="M245" s="2">
        <v>0</v>
      </c>
      <c r="N245" s="2">
        <v>0</v>
      </c>
      <c r="O245" s="2">
        <v>1</v>
      </c>
      <c r="P245" s="2">
        <v>1</v>
      </c>
      <c r="Q245" s="2">
        <v>0</v>
      </c>
      <c r="R245" s="2">
        <v>0</v>
      </c>
      <c r="S245" s="6"/>
      <c r="T245" s="7"/>
      <c r="U245" s="3"/>
    </row>
    <row r="246" spans="1:21">
      <c r="A246" s="2">
        <v>245</v>
      </c>
      <c r="B246" s="2">
        <v>0</v>
      </c>
      <c r="C246" s="2">
        <v>4000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15</v>
      </c>
      <c r="K246" s="2">
        <v>0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0</v>
      </c>
      <c r="R246" s="2">
        <v>0</v>
      </c>
      <c r="S246" s="6"/>
      <c r="T246" s="7"/>
      <c r="U246" s="3"/>
    </row>
    <row r="247" spans="1:21">
      <c r="A247" s="2">
        <v>246</v>
      </c>
      <c r="B247" s="2">
        <v>1</v>
      </c>
      <c r="C247" s="2">
        <v>74000</v>
      </c>
      <c r="D247" s="2">
        <v>1</v>
      </c>
      <c r="E247" s="2">
        <v>0</v>
      </c>
      <c r="F247" s="2">
        <v>0</v>
      </c>
      <c r="G247" s="2">
        <v>1</v>
      </c>
      <c r="H247" s="2">
        <v>0</v>
      </c>
      <c r="I247" s="2">
        <v>0</v>
      </c>
      <c r="J247" s="2">
        <v>22</v>
      </c>
      <c r="K247" s="2">
        <v>1</v>
      </c>
      <c r="L247" s="2">
        <v>0</v>
      </c>
      <c r="M247" s="2">
        <v>0</v>
      </c>
      <c r="N247" s="2">
        <v>0</v>
      </c>
      <c r="O247" s="2">
        <v>1</v>
      </c>
      <c r="P247" s="2">
        <v>1</v>
      </c>
      <c r="Q247" s="2">
        <v>1</v>
      </c>
      <c r="R247" s="2">
        <v>0</v>
      </c>
      <c r="S247" s="6"/>
      <c r="T247" s="7"/>
      <c r="U247" s="3"/>
    </row>
    <row r="248" spans="1:21">
      <c r="A248" s="2">
        <v>247</v>
      </c>
      <c r="B248" s="2">
        <v>0</v>
      </c>
      <c r="C248" s="2">
        <v>2000</v>
      </c>
      <c r="D248" s="2">
        <v>1</v>
      </c>
      <c r="E248" s="2">
        <v>0</v>
      </c>
      <c r="F248" s="2">
        <v>1</v>
      </c>
      <c r="G248" s="2">
        <v>0</v>
      </c>
      <c r="H248" s="2">
        <v>0</v>
      </c>
      <c r="I248" s="2">
        <v>0</v>
      </c>
      <c r="J248" s="2">
        <v>27</v>
      </c>
      <c r="K248" s="2">
        <v>1</v>
      </c>
      <c r="L248" s="2">
        <v>0</v>
      </c>
      <c r="M248" s="2">
        <v>0</v>
      </c>
      <c r="N248" s="2">
        <v>0</v>
      </c>
      <c r="O248" s="2">
        <v>1</v>
      </c>
      <c r="P248" s="2">
        <v>1</v>
      </c>
      <c r="Q248" s="2">
        <v>0</v>
      </c>
      <c r="R248" s="2">
        <v>0</v>
      </c>
      <c r="S248" s="6"/>
      <c r="T248" s="7"/>
      <c r="U248" s="3"/>
    </row>
    <row r="249" spans="1:21">
      <c r="A249" s="2">
        <v>248</v>
      </c>
      <c r="B249" s="2">
        <v>0</v>
      </c>
      <c r="C249" s="2">
        <v>49000</v>
      </c>
      <c r="D249" s="2">
        <v>1</v>
      </c>
      <c r="E249" s="2">
        <v>0</v>
      </c>
      <c r="F249" s="2">
        <v>0</v>
      </c>
      <c r="G249" s="2">
        <v>1</v>
      </c>
      <c r="H249" s="2">
        <v>0</v>
      </c>
      <c r="I249" s="2">
        <v>0</v>
      </c>
      <c r="J249" s="2">
        <v>1</v>
      </c>
      <c r="K249" s="2">
        <v>0</v>
      </c>
      <c r="L249" s="2">
        <v>0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  <c r="R249" s="2">
        <v>0</v>
      </c>
      <c r="S249" s="6"/>
      <c r="T249" s="7"/>
      <c r="U249" s="3"/>
    </row>
    <row r="250" spans="1:21">
      <c r="A250" s="2">
        <v>249</v>
      </c>
      <c r="B250" s="2">
        <v>1</v>
      </c>
      <c r="C250" s="2">
        <v>75000</v>
      </c>
      <c r="D250" s="2">
        <v>1</v>
      </c>
      <c r="E250" s="2">
        <v>1</v>
      </c>
      <c r="F250" s="2">
        <v>1</v>
      </c>
      <c r="G250" s="2">
        <v>0</v>
      </c>
      <c r="H250" s="2">
        <v>0</v>
      </c>
      <c r="I250" s="2">
        <v>0</v>
      </c>
      <c r="J250" s="2">
        <v>1</v>
      </c>
      <c r="K250" s="2">
        <v>0</v>
      </c>
      <c r="L250" s="2">
        <v>0</v>
      </c>
      <c r="M250" s="2">
        <v>1</v>
      </c>
      <c r="N250" s="2">
        <v>1</v>
      </c>
      <c r="O250" s="2">
        <v>1</v>
      </c>
      <c r="P250" s="2">
        <v>1</v>
      </c>
      <c r="Q250" s="2">
        <v>0</v>
      </c>
      <c r="R250" s="2">
        <v>0</v>
      </c>
      <c r="S250" s="6"/>
      <c r="T250" s="7"/>
      <c r="U250" s="3"/>
    </row>
    <row r="251" spans="1:21">
      <c r="A251" s="2">
        <v>250</v>
      </c>
      <c r="B251" s="2">
        <v>0</v>
      </c>
      <c r="C251" s="2">
        <v>15000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9</v>
      </c>
      <c r="K251" s="2">
        <v>0</v>
      </c>
      <c r="L251" s="2">
        <v>1</v>
      </c>
      <c r="M251" s="2">
        <v>0</v>
      </c>
      <c r="N251" s="2">
        <v>0</v>
      </c>
      <c r="O251" s="2">
        <v>1</v>
      </c>
      <c r="P251" s="2">
        <v>1</v>
      </c>
      <c r="Q251" s="2">
        <v>0</v>
      </c>
      <c r="R251" s="2">
        <v>0</v>
      </c>
      <c r="S251" s="6"/>
      <c r="T251" s="7"/>
      <c r="U251" s="3"/>
    </row>
    <row r="252" spans="1:21">
      <c r="A252" s="2">
        <v>251</v>
      </c>
      <c r="B252" s="2">
        <v>0</v>
      </c>
      <c r="C252" s="2">
        <v>34000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23</v>
      </c>
      <c r="K252" s="2">
        <v>0</v>
      </c>
      <c r="L252" s="2">
        <v>1</v>
      </c>
      <c r="M252" s="2">
        <v>0</v>
      </c>
      <c r="N252" s="2">
        <v>1</v>
      </c>
      <c r="O252" s="2">
        <v>0</v>
      </c>
      <c r="P252" s="2">
        <v>0</v>
      </c>
      <c r="Q252" s="2">
        <v>0</v>
      </c>
      <c r="R252" s="2">
        <v>0</v>
      </c>
      <c r="S252" s="6"/>
      <c r="T252" s="7"/>
      <c r="U252" s="3"/>
    </row>
    <row r="253" spans="1:21">
      <c r="A253" s="2">
        <v>252</v>
      </c>
      <c r="B253" s="2">
        <v>0</v>
      </c>
      <c r="C253" s="2">
        <v>75000</v>
      </c>
      <c r="D253" s="2">
        <v>0</v>
      </c>
      <c r="E253" s="2">
        <v>1</v>
      </c>
      <c r="F253" s="2">
        <v>1</v>
      </c>
      <c r="G253" s="2">
        <v>1</v>
      </c>
      <c r="H253" s="2">
        <v>0</v>
      </c>
      <c r="I253" s="2">
        <v>0</v>
      </c>
      <c r="J253" s="2">
        <v>46</v>
      </c>
      <c r="K253" s="2">
        <v>1</v>
      </c>
      <c r="L253" s="2">
        <v>1</v>
      </c>
      <c r="M253" s="2">
        <v>1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  <c r="S253" s="6"/>
      <c r="T253" s="7"/>
      <c r="U253" s="3"/>
    </row>
    <row r="254" spans="1:21">
      <c r="A254" s="2">
        <v>253</v>
      </c>
      <c r="B254" s="2">
        <v>0</v>
      </c>
      <c r="C254" s="2">
        <v>49000</v>
      </c>
      <c r="D254" s="2">
        <v>1</v>
      </c>
      <c r="E254" s="2">
        <v>1</v>
      </c>
      <c r="F254" s="2">
        <v>0</v>
      </c>
      <c r="G254" s="2">
        <v>0</v>
      </c>
      <c r="H254" s="2">
        <v>0</v>
      </c>
      <c r="I254" s="2">
        <v>0</v>
      </c>
      <c r="J254" s="2">
        <v>27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0</v>
      </c>
      <c r="R254" s="2">
        <v>0</v>
      </c>
      <c r="S254" s="6"/>
      <c r="T254" s="7"/>
      <c r="U254" s="3"/>
    </row>
    <row r="255" spans="1:21">
      <c r="A255" s="2">
        <v>254</v>
      </c>
      <c r="B255" s="2">
        <v>0</v>
      </c>
      <c r="C255" s="2">
        <v>49000</v>
      </c>
      <c r="D255" s="2">
        <v>0</v>
      </c>
      <c r="E255" s="2">
        <v>1</v>
      </c>
      <c r="F255" s="2">
        <v>0</v>
      </c>
      <c r="G255" s="2">
        <v>1</v>
      </c>
      <c r="H255" s="2">
        <v>0</v>
      </c>
      <c r="I255" s="2">
        <v>0</v>
      </c>
      <c r="J255" s="2">
        <v>27</v>
      </c>
      <c r="K255" s="2">
        <v>0</v>
      </c>
      <c r="L255" s="2">
        <v>0</v>
      </c>
      <c r="M255" s="2">
        <v>1</v>
      </c>
      <c r="N255" s="2">
        <v>1</v>
      </c>
      <c r="O255" s="2">
        <v>1</v>
      </c>
      <c r="P255" s="2">
        <v>1</v>
      </c>
      <c r="Q255" s="2">
        <v>0</v>
      </c>
      <c r="R255" s="2">
        <v>0</v>
      </c>
      <c r="S255" s="6"/>
      <c r="T255" s="7"/>
      <c r="U255" s="3"/>
    </row>
    <row r="256" spans="1:21">
      <c r="A256" s="2">
        <v>255</v>
      </c>
      <c r="B256" s="2">
        <v>0</v>
      </c>
      <c r="C256" s="2">
        <v>54000</v>
      </c>
      <c r="D256" s="2">
        <v>1</v>
      </c>
      <c r="E256" s="2">
        <v>1</v>
      </c>
      <c r="F256" s="2">
        <v>1</v>
      </c>
      <c r="G256" s="2">
        <v>1</v>
      </c>
      <c r="H256" s="2">
        <v>0</v>
      </c>
      <c r="I256" s="2">
        <v>0</v>
      </c>
      <c r="J256" s="2">
        <v>17</v>
      </c>
      <c r="K256" s="2">
        <v>1</v>
      </c>
      <c r="L256" s="2">
        <v>0</v>
      </c>
      <c r="M256" s="2">
        <v>1</v>
      </c>
      <c r="N256" s="2">
        <v>0</v>
      </c>
      <c r="O256" s="2">
        <v>1</v>
      </c>
      <c r="P256" s="2">
        <v>1</v>
      </c>
      <c r="Q256" s="2">
        <v>0</v>
      </c>
      <c r="R256" s="2">
        <v>0</v>
      </c>
      <c r="S256" s="6"/>
      <c r="T256" s="7"/>
      <c r="U256" s="3"/>
    </row>
    <row r="257" spans="1:21">
      <c r="A257" s="2">
        <v>256</v>
      </c>
      <c r="B257" s="2">
        <v>0</v>
      </c>
      <c r="C257" s="2">
        <v>35000</v>
      </c>
      <c r="D257" s="2">
        <v>1</v>
      </c>
      <c r="E257" s="2">
        <v>1</v>
      </c>
      <c r="F257" s="2">
        <v>1</v>
      </c>
      <c r="G257" s="2">
        <v>0</v>
      </c>
      <c r="H257" s="2">
        <v>0</v>
      </c>
      <c r="I257" s="2">
        <v>0</v>
      </c>
      <c r="J257" s="2">
        <v>25</v>
      </c>
      <c r="K257" s="2">
        <v>1</v>
      </c>
      <c r="L257" s="2">
        <v>0</v>
      </c>
      <c r="M257" s="2">
        <v>1</v>
      </c>
      <c r="N257" s="2">
        <v>1</v>
      </c>
      <c r="O257" s="2">
        <v>1</v>
      </c>
      <c r="P257" s="2">
        <v>1</v>
      </c>
      <c r="Q257" s="2">
        <v>0</v>
      </c>
      <c r="R257" s="2">
        <v>0</v>
      </c>
      <c r="S257" s="6"/>
      <c r="T257" s="7"/>
      <c r="U257" s="3"/>
    </row>
    <row r="258" spans="1:21">
      <c r="A258" s="2">
        <v>257</v>
      </c>
      <c r="B258" s="2">
        <v>1</v>
      </c>
      <c r="C258" s="2">
        <v>75000</v>
      </c>
      <c r="D258" s="2">
        <v>0</v>
      </c>
      <c r="E258" s="2">
        <v>1</v>
      </c>
      <c r="F258" s="2">
        <v>0</v>
      </c>
      <c r="G258" s="2">
        <v>1</v>
      </c>
      <c r="H258" s="2">
        <v>0</v>
      </c>
      <c r="I258" s="2">
        <v>0</v>
      </c>
      <c r="J258" s="2">
        <v>18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0</v>
      </c>
      <c r="R258" s="2">
        <v>0</v>
      </c>
      <c r="S258" s="6"/>
      <c r="T258" s="7"/>
      <c r="U258" s="3"/>
    </row>
    <row r="259" spans="1:21">
      <c r="A259" s="2">
        <v>258</v>
      </c>
      <c r="B259" s="2">
        <v>1</v>
      </c>
      <c r="C259" s="2">
        <v>75000</v>
      </c>
      <c r="D259" s="2">
        <v>1</v>
      </c>
      <c r="E259" s="2">
        <v>0</v>
      </c>
      <c r="F259" s="2">
        <v>1</v>
      </c>
      <c r="G259" s="2">
        <v>1</v>
      </c>
      <c r="H259" s="2">
        <v>0</v>
      </c>
      <c r="I259" s="2">
        <v>0</v>
      </c>
      <c r="J259" s="2">
        <v>17</v>
      </c>
      <c r="K259" s="2">
        <v>0</v>
      </c>
      <c r="L259" s="2">
        <v>0</v>
      </c>
      <c r="M259" s="2">
        <v>1</v>
      </c>
      <c r="N259" s="2">
        <v>1</v>
      </c>
      <c r="O259" s="2">
        <v>1</v>
      </c>
      <c r="P259" s="2">
        <v>1</v>
      </c>
      <c r="Q259" s="2">
        <v>0</v>
      </c>
      <c r="R259" s="2">
        <v>0</v>
      </c>
      <c r="S259" s="6"/>
      <c r="T259" s="7"/>
      <c r="U259" s="3"/>
    </row>
    <row r="260" spans="1:21">
      <c r="A260" s="2">
        <v>259</v>
      </c>
      <c r="B260" s="2">
        <v>0</v>
      </c>
      <c r="C260" s="2">
        <v>10000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4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1</v>
      </c>
      <c r="Q260" s="2">
        <v>0</v>
      </c>
      <c r="R260" s="2">
        <v>0</v>
      </c>
      <c r="S260" s="6"/>
      <c r="T260" s="7"/>
      <c r="U260" s="3"/>
    </row>
    <row r="261" spans="1:21">
      <c r="A261" s="2">
        <v>260</v>
      </c>
      <c r="B261" s="2">
        <v>1</v>
      </c>
      <c r="C261" s="2">
        <v>75000</v>
      </c>
      <c r="D261" s="2">
        <v>1</v>
      </c>
      <c r="E261" s="2">
        <v>1</v>
      </c>
      <c r="F261" s="2">
        <v>1</v>
      </c>
      <c r="G261" s="2">
        <v>1</v>
      </c>
      <c r="H261" s="2">
        <v>0</v>
      </c>
      <c r="I261" s="2">
        <v>0</v>
      </c>
      <c r="J261" s="2">
        <v>5</v>
      </c>
      <c r="K261" s="2">
        <v>1</v>
      </c>
      <c r="L261" s="2">
        <v>0</v>
      </c>
      <c r="M261" s="2">
        <v>1</v>
      </c>
      <c r="N261" s="2">
        <v>0</v>
      </c>
      <c r="O261" s="2">
        <v>1</v>
      </c>
      <c r="P261" s="2">
        <v>1</v>
      </c>
      <c r="Q261" s="2">
        <v>1</v>
      </c>
      <c r="R261" s="2">
        <v>1</v>
      </c>
      <c r="S261" s="6"/>
      <c r="T261" s="7"/>
      <c r="U261" s="3"/>
    </row>
    <row r="262" spans="1:21">
      <c r="A262" s="2">
        <v>261</v>
      </c>
      <c r="B262" s="2">
        <v>0</v>
      </c>
      <c r="C262" s="2">
        <v>13000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34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1</v>
      </c>
      <c r="Q262" s="2">
        <v>0</v>
      </c>
      <c r="R262" s="2">
        <v>0</v>
      </c>
      <c r="S262" s="6"/>
      <c r="T262" s="7"/>
      <c r="U262" s="3"/>
    </row>
    <row r="263" spans="1:21">
      <c r="A263" s="2">
        <v>262</v>
      </c>
      <c r="B263" s="2">
        <v>0</v>
      </c>
      <c r="C263" s="2">
        <v>60000</v>
      </c>
      <c r="D263" s="2">
        <v>1</v>
      </c>
      <c r="E263" s="2">
        <v>1</v>
      </c>
      <c r="F263" s="2">
        <v>1</v>
      </c>
      <c r="G263" s="2">
        <v>1</v>
      </c>
      <c r="H263" s="2">
        <v>0</v>
      </c>
      <c r="I263" s="2">
        <v>0</v>
      </c>
      <c r="J263" s="2">
        <v>2</v>
      </c>
      <c r="K263" s="2">
        <v>1</v>
      </c>
      <c r="L263" s="2">
        <v>0</v>
      </c>
      <c r="M263" s="2">
        <v>1</v>
      </c>
      <c r="N263" s="2">
        <v>1</v>
      </c>
      <c r="O263" s="2">
        <v>1</v>
      </c>
      <c r="P263" s="2">
        <v>1</v>
      </c>
      <c r="Q263" s="2">
        <v>0</v>
      </c>
      <c r="R263" s="2">
        <v>0</v>
      </c>
      <c r="S263" s="6"/>
      <c r="T263" s="7"/>
      <c r="U263" s="3"/>
    </row>
    <row r="264" spans="1:21">
      <c r="A264" s="2">
        <v>263</v>
      </c>
      <c r="B264" s="2">
        <v>0</v>
      </c>
      <c r="C264" s="2">
        <v>4000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16</v>
      </c>
      <c r="K264" s="2">
        <v>0</v>
      </c>
      <c r="L264" s="2">
        <v>1</v>
      </c>
      <c r="M264" s="2">
        <v>0</v>
      </c>
      <c r="N264" s="2">
        <v>1</v>
      </c>
      <c r="O264" s="2">
        <v>0</v>
      </c>
      <c r="P264" s="2">
        <v>1</v>
      </c>
      <c r="Q264" s="2">
        <v>0</v>
      </c>
      <c r="R264" s="2">
        <v>0</v>
      </c>
      <c r="S264" s="6"/>
      <c r="T264" s="7"/>
      <c r="U264" s="3"/>
    </row>
    <row r="265" spans="1:21">
      <c r="A265" s="2">
        <v>264</v>
      </c>
      <c r="B265" s="2">
        <v>1</v>
      </c>
      <c r="C265" s="2">
        <v>75000</v>
      </c>
      <c r="D265" s="2">
        <v>0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2">
        <v>4</v>
      </c>
      <c r="K265" s="2">
        <v>0</v>
      </c>
      <c r="L265" s="2">
        <v>1</v>
      </c>
      <c r="M265" s="2">
        <v>0</v>
      </c>
      <c r="N265" s="2">
        <v>1</v>
      </c>
      <c r="O265" s="2">
        <v>0</v>
      </c>
      <c r="P265" s="2">
        <v>1</v>
      </c>
      <c r="Q265" s="2">
        <v>1</v>
      </c>
      <c r="R265" s="2">
        <v>0</v>
      </c>
      <c r="S265" s="6"/>
      <c r="T265" s="7"/>
      <c r="U265" s="3"/>
    </row>
    <row r="266" spans="1:21">
      <c r="A266" s="2">
        <v>265</v>
      </c>
      <c r="B266" s="2">
        <v>0</v>
      </c>
      <c r="C266" s="2">
        <v>46000</v>
      </c>
      <c r="D266" s="2">
        <v>0</v>
      </c>
      <c r="E266" s="2">
        <v>1</v>
      </c>
      <c r="F266" s="2">
        <v>1</v>
      </c>
      <c r="G266" s="2">
        <v>0</v>
      </c>
      <c r="H266" s="2">
        <v>0</v>
      </c>
      <c r="I266" s="2">
        <v>0</v>
      </c>
      <c r="J266" s="2">
        <v>7</v>
      </c>
      <c r="K266" s="2">
        <v>1</v>
      </c>
      <c r="L266" s="2">
        <v>1</v>
      </c>
      <c r="M266" s="2">
        <v>0</v>
      </c>
      <c r="N266" s="2">
        <v>0</v>
      </c>
      <c r="O266" s="2">
        <v>1</v>
      </c>
      <c r="P266" s="2">
        <v>1</v>
      </c>
      <c r="Q266" s="2">
        <v>0</v>
      </c>
      <c r="R266" s="2">
        <v>0</v>
      </c>
      <c r="S266" s="6"/>
      <c r="T266" s="7"/>
      <c r="U266" s="3"/>
    </row>
    <row r="267" spans="1:21">
      <c r="A267" s="2">
        <v>266</v>
      </c>
      <c r="B267" s="2">
        <v>1</v>
      </c>
      <c r="C267" s="2">
        <v>75000</v>
      </c>
      <c r="D267" s="2">
        <v>0</v>
      </c>
      <c r="E267" s="2">
        <v>0</v>
      </c>
      <c r="F267" s="2">
        <v>1</v>
      </c>
      <c r="G267" s="2">
        <v>1</v>
      </c>
      <c r="H267" s="2">
        <v>0</v>
      </c>
      <c r="I267" s="2">
        <v>0</v>
      </c>
      <c r="J267" s="2">
        <v>17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0</v>
      </c>
      <c r="R267" s="2">
        <v>1</v>
      </c>
      <c r="S267" s="6"/>
      <c r="T267" s="7"/>
      <c r="U267" s="3"/>
    </row>
    <row r="268" spans="1:21">
      <c r="A268" s="2">
        <v>267</v>
      </c>
      <c r="B268" s="2">
        <v>0</v>
      </c>
      <c r="C268" s="2">
        <v>17000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23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1</v>
      </c>
      <c r="Q268" s="2">
        <v>0</v>
      </c>
      <c r="R268" s="2">
        <v>0</v>
      </c>
      <c r="S268" s="6"/>
      <c r="T268" s="7"/>
      <c r="U268" s="3"/>
    </row>
    <row r="269" spans="1:21">
      <c r="A269" s="2">
        <v>268</v>
      </c>
      <c r="B269" s="2">
        <v>1</v>
      </c>
      <c r="C269" s="2">
        <v>69000</v>
      </c>
      <c r="D269" s="2">
        <v>0</v>
      </c>
      <c r="E269" s="2">
        <v>0</v>
      </c>
      <c r="F269" s="2">
        <v>1</v>
      </c>
      <c r="G269" s="2">
        <v>1</v>
      </c>
      <c r="H269" s="2">
        <v>0</v>
      </c>
      <c r="I269" s="2">
        <v>0</v>
      </c>
      <c r="J269" s="2">
        <v>21</v>
      </c>
      <c r="K269" s="2">
        <v>0</v>
      </c>
      <c r="L269" s="2">
        <v>0</v>
      </c>
      <c r="M269" s="2">
        <v>1</v>
      </c>
      <c r="N269" s="2">
        <v>1</v>
      </c>
      <c r="O269" s="2">
        <v>1</v>
      </c>
      <c r="P269" s="2">
        <v>1</v>
      </c>
      <c r="Q269" s="2">
        <v>0</v>
      </c>
      <c r="R269" s="2">
        <v>0</v>
      </c>
      <c r="S269" s="6"/>
      <c r="T269" s="7"/>
      <c r="U269" s="3"/>
    </row>
    <row r="270" spans="1:21">
      <c r="A270" s="2">
        <v>269</v>
      </c>
      <c r="B270" s="2">
        <v>0</v>
      </c>
      <c r="C270" s="2">
        <v>10000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1</v>
      </c>
      <c r="J270" s="2">
        <v>15</v>
      </c>
      <c r="K270" s="2">
        <v>0</v>
      </c>
      <c r="L270" s="2">
        <v>1</v>
      </c>
      <c r="M270" s="2">
        <v>0</v>
      </c>
      <c r="N270" s="2">
        <v>1</v>
      </c>
      <c r="O270" s="2">
        <v>1</v>
      </c>
      <c r="P270" s="2">
        <v>1</v>
      </c>
      <c r="Q270" s="2">
        <v>0</v>
      </c>
      <c r="R270" s="2">
        <v>0</v>
      </c>
      <c r="S270" s="6"/>
      <c r="T270" s="7"/>
      <c r="U270" s="3"/>
    </row>
    <row r="271" spans="1:21">
      <c r="A271" s="2">
        <v>270</v>
      </c>
      <c r="B271" s="2">
        <v>1</v>
      </c>
      <c r="C271" s="2">
        <v>75000</v>
      </c>
      <c r="D271" s="2">
        <v>0</v>
      </c>
      <c r="E271" s="2">
        <v>1</v>
      </c>
      <c r="F271" s="2">
        <v>1</v>
      </c>
      <c r="G271" s="2">
        <v>1</v>
      </c>
      <c r="H271" s="2">
        <v>0</v>
      </c>
      <c r="I271" s="2">
        <v>0</v>
      </c>
      <c r="J271" s="2">
        <v>2</v>
      </c>
      <c r="K271" s="2">
        <v>1</v>
      </c>
      <c r="L271" s="2">
        <v>0</v>
      </c>
      <c r="M271" s="2">
        <v>0</v>
      </c>
      <c r="N271" s="2">
        <v>1</v>
      </c>
      <c r="O271" s="2">
        <v>1</v>
      </c>
      <c r="P271" s="2">
        <v>1</v>
      </c>
      <c r="Q271" s="2">
        <v>0</v>
      </c>
      <c r="R271" s="2">
        <v>0</v>
      </c>
      <c r="S271" s="6"/>
      <c r="T271" s="7"/>
      <c r="U271" s="3"/>
    </row>
    <row r="272" spans="1:21">
      <c r="A272" s="2">
        <v>271</v>
      </c>
      <c r="B272" s="2">
        <v>0</v>
      </c>
      <c r="C272" s="2">
        <v>5000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7</v>
      </c>
      <c r="K272" s="2">
        <v>0</v>
      </c>
      <c r="L272" s="2">
        <v>1</v>
      </c>
      <c r="M272" s="2">
        <v>0</v>
      </c>
      <c r="N272" s="2">
        <v>1</v>
      </c>
      <c r="O272" s="2">
        <v>1</v>
      </c>
      <c r="P272" s="2">
        <v>1</v>
      </c>
      <c r="Q272" s="2">
        <v>0</v>
      </c>
      <c r="R272" s="2">
        <v>0</v>
      </c>
      <c r="S272" s="6"/>
      <c r="T272" s="7"/>
      <c r="U272" s="3"/>
    </row>
    <row r="273" spans="1:21">
      <c r="A273" s="2">
        <v>272</v>
      </c>
      <c r="B273" s="2">
        <v>0</v>
      </c>
      <c r="C273" s="2">
        <v>36000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23</v>
      </c>
      <c r="K273" s="2">
        <v>0</v>
      </c>
      <c r="L273" s="2">
        <v>0</v>
      </c>
      <c r="M273" s="2">
        <v>0</v>
      </c>
      <c r="N273" s="2">
        <v>1</v>
      </c>
      <c r="O273" s="2">
        <v>1</v>
      </c>
      <c r="P273" s="2">
        <v>1</v>
      </c>
      <c r="Q273" s="2">
        <v>0</v>
      </c>
      <c r="R273" s="2">
        <v>0</v>
      </c>
      <c r="S273" s="6"/>
      <c r="T273" s="7"/>
      <c r="U273" s="3"/>
    </row>
    <row r="274" spans="1:21">
      <c r="A274" s="2">
        <v>273</v>
      </c>
      <c r="B274" s="2">
        <v>0</v>
      </c>
      <c r="C274" s="2">
        <v>40000</v>
      </c>
      <c r="D274" s="2">
        <v>0</v>
      </c>
      <c r="E274" s="2">
        <v>0</v>
      </c>
      <c r="F274" s="2">
        <v>1</v>
      </c>
      <c r="G274" s="2">
        <v>0</v>
      </c>
      <c r="H274" s="2">
        <v>0</v>
      </c>
      <c r="I274" s="2">
        <v>0</v>
      </c>
      <c r="J274" s="2">
        <v>29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6"/>
      <c r="T274" s="7"/>
      <c r="U274" s="3"/>
    </row>
    <row r="275" spans="1:21">
      <c r="A275" s="2">
        <v>274</v>
      </c>
      <c r="B275" s="2">
        <v>0</v>
      </c>
      <c r="C275" s="2">
        <v>44000</v>
      </c>
      <c r="D275" s="2">
        <v>1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10</v>
      </c>
      <c r="K275" s="2">
        <v>1</v>
      </c>
      <c r="L275" s="2">
        <v>1</v>
      </c>
      <c r="M275" s="2">
        <v>1</v>
      </c>
      <c r="N275" s="2">
        <v>1</v>
      </c>
      <c r="O275" s="2">
        <v>0</v>
      </c>
      <c r="P275" s="2">
        <v>1</v>
      </c>
      <c r="Q275" s="2">
        <v>0</v>
      </c>
      <c r="R275" s="2">
        <v>0</v>
      </c>
      <c r="S275" s="6"/>
      <c r="T275" s="7"/>
      <c r="U275" s="3"/>
    </row>
    <row r="276" spans="1:21">
      <c r="A276" s="2">
        <v>275</v>
      </c>
      <c r="B276" s="2">
        <v>0</v>
      </c>
      <c r="C276" s="2">
        <v>19000</v>
      </c>
      <c r="D276" s="2">
        <v>0</v>
      </c>
      <c r="E276" s="2">
        <v>0</v>
      </c>
      <c r="F276" s="2">
        <v>1</v>
      </c>
      <c r="G276" s="2">
        <v>0</v>
      </c>
      <c r="H276" s="2">
        <v>0</v>
      </c>
      <c r="I276" s="2">
        <v>0</v>
      </c>
      <c r="J276" s="2">
        <v>3</v>
      </c>
      <c r="K276" s="2">
        <v>0</v>
      </c>
      <c r="L276" s="2">
        <v>0</v>
      </c>
      <c r="M276" s="2">
        <v>0</v>
      </c>
      <c r="N276" s="2">
        <v>0</v>
      </c>
      <c r="O276" s="2">
        <v>1</v>
      </c>
      <c r="P276" s="2">
        <v>1</v>
      </c>
      <c r="Q276" s="2">
        <v>0</v>
      </c>
      <c r="R276" s="2">
        <v>0</v>
      </c>
      <c r="S276" s="6"/>
      <c r="T276" s="7"/>
      <c r="U276" s="3"/>
    </row>
    <row r="277" spans="1:21">
      <c r="A277" s="2">
        <v>276</v>
      </c>
      <c r="B277" s="2">
        <v>0</v>
      </c>
      <c r="C277" s="2">
        <v>27000</v>
      </c>
      <c r="D277" s="2">
        <v>0</v>
      </c>
      <c r="E277" s="2">
        <v>0</v>
      </c>
      <c r="F277" s="2">
        <v>1</v>
      </c>
      <c r="G277" s="2">
        <v>0</v>
      </c>
      <c r="H277" s="2">
        <v>0</v>
      </c>
      <c r="I277" s="2">
        <v>0</v>
      </c>
      <c r="J277" s="2">
        <v>3</v>
      </c>
      <c r="K277" s="2">
        <v>0</v>
      </c>
      <c r="L277" s="2">
        <v>0</v>
      </c>
      <c r="M277" s="2">
        <v>1</v>
      </c>
      <c r="N277" s="2">
        <v>1</v>
      </c>
      <c r="O277" s="2">
        <v>0</v>
      </c>
      <c r="P277" s="2">
        <v>0</v>
      </c>
      <c r="Q277" s="2">
        <v>0</v>
      </c>
      <c r="R277" s="2">
        <v>1</v>
      </c>
      <c r="S277" s="6"/>
      <c r="T277" s="7"/>
      <c r="U277" s="3"/>
    </row>
    <row r="278" spans="1:21">
      <c r="A278" s="2">
        <v>277</v>
      </c>
      <c r="B278" s="2">
        <v>0</v>
      </c>
      <c r="C278" s="2">
        <v>2000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15</v>
      </c>
      <c r="K278" s="2">
        <v>0</v>
      </c>
      <c r="L278" s="2">
        <v>1</v>
      </c>
      <c r="M278" s="2">
        <v>0</v>
      </c>
      <c r="N278" s="2">
        <v>1</v>
      </c>
      <c r="O278" s="2">
        <v>1</v>
      </c>
      <c r="P278" s="2">
        <v>1</v>
      </c>
      <c r="Q278" s="2">
        <v>0</v>
      </c>
      <c r="R278" s="2">
        <v>0</v>
      </c>
      <c r="S278" s="6"/>
      <c r="T278" s="7"/>
      <c r="U278" s="3"/>
    </row>
    <row r="279" spans="1:21">
      <c r="A279" s="2">
        <v>278</v>
      </c>
      <c r="B279" s="2">
        <v>0</v>
      </c>
      <c r="C279" s="2">
        <v>25000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5</v>
      </c>
      <c r="K279" s="2">
        <v>0</v>
      </c>
      <c r="L279" s="2">
        <v>1</v>
      </c>
      <c r="M279" s="2">
        <v>0</v>
      </c>
      <c r="N279" s="2">
        <v>1</v>
      </c>
      <c r="O279" s="2">
        <v>0</v>
      </c>
      <c r="P279" s="2">
        <v>0</v>
      </c>
      <c r="Q279" s="2">
        <v>0</v>
      </c>
      <c r="R279" s="2">
        <v>0</v>
      </c>
      <c r="S279" s="6"/>
      <c r="T279" s="7"/>
      <c r="U279" s="3"/>
    </row>
    <row r="280" spans="1:21">
      <c r="A280" s="2">
        <v>279</v>
      </c>
      <c r="B280" s="2">
        <v>0</v>
      </c>
      <c r="C280" s="2">
        <v>21000</v>
      </c>
      <c r="D280" s="2">
        <v>1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2">
        <v>8</v>
      </c>
      <c r="K280" s="2">
        <v>0</v>
      </c>
      <c r="L280" s="2">
        <v>0</v>
      </c>
      <c r="M280" s="2">
        <v>1</v>
      </c>
      <c r="N280" s="2">
        <v>1</v>
      </c>
      <c r="O280" s="2">
        <v>1</v>
      </c>
      <c r="P280" s="2">
        <v>1</v>
      </c>
      <c r="Q280" s="2">
        <v>0</v>
      </c>
      <c r="R280" s="2">
        <v>0</v>
      </c>
      <c r="S280" s="6"/>
      <c r="T280" s="7"/>
      <c r="U280" s="3"/>
    </row>
    <row r="281" spans="1:21">
      <c r="A281" s="2">
        <v>280</v>
      </c>
      <c r="B281" s="2">
        <v>0</v>
      </c>
      <c r="C281" s="2">
        <v>14000</v>
      </c>
      <c r="D281" s="2">
        <v>1</v>
      </c>
      <c r="E281" s="2">
        <v>0</v>
      </c>
      <c r="F281" s="2">
        <v>1</v>
      </c>
      <c r="G281" s="2">
        <v>0</v>
      </c>
      <c r="H281" s="2">
        <v>0</v>
      </c>
      <c r="I281" s="2">
        <v>0</v>
      </c>
      <c r="J281" s="2">
        <v>1</v>
      </c>
      <c r="K281" s="2">
        <v>0</v>
      </c>
      <c r="L281" s="2">
        <v>0</v>
      </c>
      <c r="M281" s="2">
        <v>0</v>
      </c>
      <c r="N281" s="2">
        <v>0</v>
      </c>
      <c r="O281" s="2">
        <v>1</v>
      </c>
      <c r="P281" s="2">
        <v>1</v>
      </c>
      <c r="Q281" s="2">
        <v>0</v>
      </c>
      <c r="R281" s="2">
        <v>0</v>
      </c>
      <c r="S281" s="6"/>
      <c r="T281" s="7"/>
      <c r="U281" s="3"/>
    </row>
    <row r="282" spans="1:21">
      <c r="A282" s="2">
        <v>281</v>
      </c>
      <c r="B282" s="2">
        <v>0</v>
      </c>
      <c r="C282" s="2">
        <v>1000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8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6"/>
      <c r="T282" s="7"/>
      <c r="U282" s="3"/>
    </row>
    <row r="283" spans="1:21">
      <c r="A283" s="2">
        <v>282</v>
      </c>
      <c r="B283" s="2">
        <v>0</v>
      </c>
      <c r="C283" s="2">
        <v>34000</v>
      </c>
      <c r="D283" s="2">
        <v>1</v>
      </c>
      <c r="E283" s="2">
        <v>0</v>
      </c>
      <c r="F283" s="2">
        <v>0</v>
      </c>
      <c r="G283" s="2">
        <v>1</v>
      </c>
      <c r="H283" s="2">
        <v>0</v>
      </c>
      <c r="I283" s="2">
        <v>0</v>
      </c>
      <c r="J283" s="2">
        <v>9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0</v>
      </c>
      <c r="R283" s="2">
        <v>0</v>
      </c>
      <c r="S283" s="6"/>
      <c r="T283" s="7"/>
      <c r="U283" s="3"/>
    </row>
    <row r="284" spans="1:21">
      <c r="A284" s="2">
        <v>283</v>
      </c>
      <c r="B284" s="2">
        <v>0</v>
      </c>
      <c r="C284" s="2">
        <v>2000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17</v>
      </c>
      <c r="K284" s="2">
        <v>0</v>
      </c>
      <c r="L284" s="2">
        <v>1</v>
      </c>
      <c r="M284" s="2">
        <v>0</v>
      </c>
      <c r="N284" s="2">
        <v>1</v>
      </c>
      <c r="O284" s="2">
        <v>0</v>
      </c>
      <c r="P284" s="2">
        <v>1</v>
      </c>
      <c r="Q284" s="2">
        <v>0</v>
      </c>
      <c r="R284" s="2">
        <v>0</v>
      </c>
      <c r="S284" s="6"/>
      <c r="T284" s="7"/>
      <c r="U284" s="3"/>
    </row>
    <row r="285" spans="1:21">
      <c r="A285" s="2">
        <v>284</v>
      </c>
      <c r="B285" s="2">
        <v>0</v>
      </c>
      <c r="C285" s="2">
        <v>25000</v>
      </c>
      <c r="D285" s="2">
        <v>1</v>
      </c>
      <c r="E285" s="2">
        <v>1</v>
      </c>
      <c r="F285" s="2">
        <v>0</v>
      </c>
      <c r="G285" s="2">
        <v>0</v>
      </c>
      <c r="H285" s="2">
        <v>0</v>
      </c>
      <c r="I285" s="2">
        <v>0</v>
      </c>
      <c r="J285" s="2">
        <v>25</v>
      </c>
      <c r="K285" s="2">
        <v>1</v>
      </c>
      <c r="L285" s="2">
        <v>1</v>
      </c>
      <c r="M285" s="2">
        <v>0</v>
      </c>
      <c r="N285" s="2">
        <v>0</v>
      </c>
      <c r="O285" s="2">
        <v>1</v>
      </c>
      <c r="P285" s="2">
        <v>1</v>
      </c>
      <c r="Q285" s="2">
        <v>0</v>
      </c>
      <c r="R285" s="2">
        <v>0</v>
      </c>
      <c r="S285" s="6"/>
      <c r="T285" s="7"/>
      <c r="U285" s="3"/>
    </row>
    <row r="286" spans="1:21">
      <c r="A286" s="2">
        <v>285</v>
      </c>
      <c r="B286" s="2">
        <v>0</v>
      </c>
      <c r="C286" s="2">
        <v>74000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20</v>
      </c>
      <c r="K286" s="2">
        <v>0</v>
      </c>
      <c r="L286" s="2">
        <v>1</v>
      </c>
      <c r="M286" s="2">
        <v>0</v>
      </c>
      <c r="N286" s="2">
        <v>1</v>
      </c>
      <c r="O286" s="2">
        <v>0</v>
      </c>
      <c r="P286" s="2">
        <v>1</v>
      </c>
      <c r="Q286" s="2">
        <v>0</v>
      </c>
      <c r="R286" s="2">
        <v>0</v>
      </c>
      <c r="S286" s="6"/>
      <c r="T286" s="7"/>
      <c r="U286" s="3"/>
    </row>
    <row r="287" spans="1:21">
      <c r="A287" s="2">
        <v>286</v>
      </c>
      <c r="B287" s="2">
        <v>0</v>
      </c>
      <c r="C287" s="2">
        <v>19000</v>
      </c>
      <c r="D287" s="2">
        <v>1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5</v>
      </c>
      <c r="K287" s="2">
        <v>0</v>
      </c>
      <c r="L287" s="2">
        <v>0</v>
      </c>
      <c r="M287" s="2">
        <v>0</v>
      </c>
      <c r="N287" s="2">
        <v>0</v>
      </c>
      <c r="O287" s="2">
        <v>1</v>
      </c>
      <c r="P287" s="2">
        <v>1</v>
      </c>
      <c r="Q287" s="2">
        <v>0</v>
      </c>
      <c r="R287" s="2">
        <v>0</v>
      </c>
      <c r="S287" s="6"/>
      <c r="T287" s="7"/>
      <c r="U287" s="3"/>
    </row>
    <row r="288" spans="1:21">
      <c r="A288" s="2">
        <v>287</v>
      </c>
      <c r="B288" s="2">
        <v>0</v>
      </c>
      <c r="C288" s="2">
        <v>32000</v>
      </c>
      <c r="D288" s="2">
        <v>1</v>
      </c>
      <c r="E288" s="2">
        <v>1</v>
      </c>
      <c r="F288" s="2">
        <v>0</v>
      </c>
      <c r="G288" s="2">
        <v>0</v>
      </c>
      <c r="H288" s="2">
        <v>0</v>
      </c>
      <c r="I288" s="2">
        <v>0</v>
      </c>
      <c r="J288" s="2">
        <v>16</v>
      </c>
      <c r="K288" s="2">
        <v>0</v>
      </c>
      <c r="L288" s="2">
        <v>0</v>
      </c>
      <c r="M288" s="2">
        <v>1</v>
      </c>
      <c r="N288" s="2">
        <v>1</v>
      </c>
      <c r="O288" s="2">
        <v>1</v>
      </c>
      <c r="P288" s="2">
        <v>1</v>
      </c>
      <c r="Q288" s="2">
        <v>0</v>
      </c>
      <c r="R288" s="2">
        <v>0</v>
      </c>
      <c r="S288" s="6"/>
      <c r="T288" s="7"/>
      <c r="U288" s="3"/>
    </row>
    <row r="289" spans="1:21">
      <c r="A289" s="2">
        <v>288</v>
      </c>
      <c r="B289" s="2">
        <v>0</v>
      </c>
      <c r="C289" s="2">
        <v>18000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32</v>
      </c>
      <c r="K289" s="2">
        <v>0</v>
      </c>
      <c r="L289" s="2">
        <v>0</v>
      </c>
      <c r="M289" s="2">
        <v>0</v>
      </c>
      <c r="N289" s="2">
        <v>0</v>
      </c>
      <c r="O289" s="2">
        <v>1</v>
      </c>
      <c r="P289" s="2">
        <v>1</v>
      </c>
      <c r="Q289" s="2">
        <v>0</v>
      </c>
      <c r="R289" s="2">
        <v>0</v>
      </c>
      <c r="S289" s="6"/>
      <c r="T289" s="7"/>
      <c r="U289" s="3"/>
    </row>
    <row r="290" spans="1:21">
      <c r="A290" s="2">
        <v>289</v>
      </c>
      <c r="B290" s="2">
        <v>0</v>
      </c>
      <c r="C290" s="2">
        <v>9000</v>
      </c>
      <c r="D290" s="2">
        <v>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1</v>
      </c>
      <c r="K290" s="2">
        <v>0</v>
      </c>
      <c r="L290" s="2">
        <v>0</v>
      </c>
      <c r="M290" s="2">
        <v>0</v>
      </c>
      <c r="N290" s="2">
        <v>1</v>
      </c>
      <c r="O290" s="2">
        <v>1</v>
      </c>
      <c r="P290" s="2">
        <v>1</v>
      </c>
      <c r="Q290" s="2">
        <v>0</v>
      </c>
      <c r="R290" s="2">
        <v>0</v>
      </c>
      <c r="S290" s="6"/>
      <c r="T290" s="7"/>
      <c r="U290" s="3"/>
    </row>
    <row r="291" spans="1:21">
      <c r="A291" s="2">
        <v>290</v>
      </c>
      <c r="B291" s="2">
        <v>0</v>
      </c>
      <c r="C291" s="2">
        <v>38000</v>
      </c>
      <c r="D291" s="2">
        <v>1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2">
        <v>43</v>
      </c>
      <c r="K291" s="2">
        <v>1</v>
      </c>
      <c r="L291" s="2">
        <v>0</v>
      </c>
      <c r="M291" s="2">
        <v>1</v>
      </c>
      <c r="N291" s="2">
        <v>1</v>
      </c>
      <c r="O291" s="2">
        <v>1</v>
      </c>
      <c r="P291" s="2">
        <v>1</v>
      </c>
      <c r="Q291" s="2">
        <v>0</v>
      </c>
      <c r="R291" s="2">
        <v>0</v>
      </c>
      <c r="S291" s="6"/>
      <c r="T291" s="7"/>
      <c r="U291" s="3"/>
    </row>
    <row r="292" spans="1:21">
      <c r="A292" s="2">
        <v>291</v>
      </c>
      <c r="B292" s="2">
        <v>1</v>
      </c>
      <c r="C292" s="2">
        <v>75000</v>
      </c>
      <c r="D292" s="2">
        <v>1</v>
      </c>
      <c r="E292" s="2">
        <v>1</v>
      </c>
      <c r="F292" s="2">
        <v>1</v>
      </c>
      <c r="G292" s="2">
        <v>1</v>
      </c>
      <c r="H292" s="2">
        <v>0</v>
      </c>
      <c r="I292" s="2">
        <v>0</v>
      </c>
      <c r="J292" s="2">
        <v>24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0</v>
      </c>
      <c r="R292" s="2">
        <v>0</v>
      </c>
      <c r="S292" s="6"/>
      <c r="T292" s="7"/>
      <c r="U292" s="3"/>
    </row>
    <row r="293" spans="1:21">
      <c r="A293" s="2">
        <v>292</v>
      </c>
      <c r="B293" s="2">
        <v>0</v>
      </c>
      <c r="C293" s="2">
        <v>1000</v>
      </c>
      <c r="D293" s="2">
        <v>1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14</v>
      </c>
      <c r="K293" s="2">
        <v>0</v>
      </c>
      <c r="L293" s="2">
        <v>1</v>
      </c>
      <c r="M293" s="2">
        <v>0</v>
      </c>
      <c r="N293" s="2">
        <v>1</v>
      </c>
      <c r="O293" s="2">
        <v>1</v>
      </c>
      <c r="P293" s="2">
        <v>1</v>
      </c>
      <c r="Q293" s="2">
        <v>0</v>
      </c>
      <c r="R293" s="2">
        <v>0</v>
      </c>
      <c r="S293" s="6"/>
      <c r="T293" s="7"/>
      <c r="U293" s="3"/>
    </row>
    <row r="294" spans="1:21">
      <c r="A294" s="2">
        <v>293</v>
      </c>
      <c r="B294" s="2">
        <v>0</v>
      </c>
      <c r="C294" s="2">
        <v>23000</v>
      </c>
      <c r="D294" s="2">
        <v>1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16</v>
      </c>
      <c r="K294" s="2">
        <v>0</v>
      </c>
      <c r="L294" s="2">
        <v>0</v>
      </c>
      <c r="M294" s="2">
        <v>1</v>
      </c>
      <c r="N294" s="2">
        <v>1</v>
      </c>
      <c r="O294" s="2">
        <v>1</v>
      </c>
      <c r="P294" s="2">
        <v>1</v>
      </c>
      <c r="Q294" s="2">
        <v>0</v>
      </c>
      <c r="R294" s="2">
        <v>0</v>
      </c>
      <c r="S294" s="6"/>
      <c r="T294" s="7"/>
      <c r="U294" s="3"/>
    </row>
    <row r="295" spans="1:21">
      <c r="A295" s="2">
        <v>294</v>
      </c>
      <c r="B295" s="2">
        <v>0</v>
      </c>
      <c r="C295" s="2">
        <v>1000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16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>
        <v>1</v>
      </c>
      <c r="Q295" s="2">
        <v>0</v>
      </c>
      <c r="R295" s="2">
        <v>0</v>
      </c>
      <c r="S295" s="6"/>
      <c r="T295" s="7"/>
      <c r="U295" s="3"/>
    </row>
    <row r="296" spans="1:21">
      <c r="A296" s="2">
        <v>295</v>
      </c>
      <c r="B296" s="2">
        <v>0</v>
      </c>
      <c r="C296" s="2">
        <v>7000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5</v>
      </c>
      <c r="K296" s="2">
        <v>0</v>
      </c>
      <c r="L296" s="2">
        <v>1</v>
      </c>
      <c r="M296" s="2">
        <v>0</v>
      </c>
      <c r="N296" s="2">
        <v>1</v>
      </c>
      <c r="O296" s="2">
        <v>0</v>
      </c>
      <c r="P296" s="2">
        <v>1</v>
      </c>
      <c r="Q296" s="2">
        <v>0</v>
      </c>
      <c r="R296" s="2">
        <v>0</v>
      </c>
      <c r="S296" s="6"/>
      <c r="T296" s="7"/>
      <c r="U296" s="3"/>
    </row>
    <row r="297" spans="1:21">
      <c r="A297" s="2">
        <v>296</v>
      </c>
      <c r="B297" s="2">
        <v>0</v>
      </c>
      <c r="C297" s="2">
        <v>10000</v>
      </c>
      <c r="D297" s="2">
        <v>1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22</v>
      </c>
      <c r="K297" s="2">
        <v>0</v>
      </c>
      <c r="L297" s="2">
        <v>0</v>
      </c>
      <c r="M297" s="2">
        <v>0</v>
      </c>
      <c r="N297" s="2">
        <v>0</v>
      </c>
      <c r="O297" s="2">
        <v>1</v>
      </c>
      <c r="P297" s="2">
        <v>1</v>
      </c>
      <c r="Q297" s="2">
        <v>0</v>
      </c>
      <c r="R297" s="2">
        <v>0</v>
      </c>
      <c r="S297" s="6"/>
      <c r="T297" s="7"/>
      <c r="U297" s="3"/>
    </row>
    <row r="298" spans="1:21">
      <c r="A298" s="2">
        <v>297</v>
      </c>
      <c r="B298" s="2">
        <v>1</v>
      </c>
      <c r="C298" s="2">
        <v>75000</v>
      </c>
      <c r="D298" s="2">
        <v>0</v>
      </c>
      <c r="E298" s="2">
        <v>1</v>
      </c>
      <c r="F298" s="2">
        <v>1</v>
      </c>
      <c r="G298" s="2">
        <v>1</v>
      </c>
      <c r="H298" s="2">
        <v>0</v>
      </c>
      <c r="I298" s="2">
        <v>0</v>
      </c>
      <c r="J298" s="2">
        <v>7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  <c r="S298" s="6"/>
      <c r="T298" s="7"/>
      <c r="U298" s="3"/>
    </row>
    <row r="299" spans="1:21">
      <c r="A299" s="2">
        <v>298</v>
      </c>
      <c r="B299" s="2">
        <v>0</v>
      </c>
      <c r="C299" s="2">
        <v>2000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16</v>
      </c>
      <c r="K299" s="2">
        <v>0</v>
      </c>
      <c r="L299" s="2">
        <v>1</v>
      </c>
      <c r="M299" s="2">
        <v>0</v>
      </c>
      <c r="N299" s="2">
        <v>1</v>
      </c>
      <c r="O299" s="2">
        <v>0</v>
      </c>
      <c r="P299" s="2">
        <v>1</v>
      </c>
      <c r="Q299" s="2">
        <v>1</v>
      </c>
      <c r="R299" s="2">
        <v>0</v>
      </c>
      <c r="S299" s="6"/>
      <c r="T299" s="7"/>
      <c r="U299" s="3"/>
    </row>
    <row r="300" spans="1:21">
      <c r="A300" s="2">
        <v>299</v>
      </c>
      <c r="B300" s="2">
        <v>1</v>
      </c>
      <c r="C300" s="2">
        <v>75000</v>
      </c>
      <c r="D300" s="2">
        <v>0</v>
      </c>
      <c r="E300" s="2">
        <v>1</v>
      </c>
      <c r="F300" s="2">
        <v>1</v>
      </c>
      <c r="G300" s="2">
        <v>1</v>
      </c>
      <c r="H300" s="2">
        <v>0</v>
      </c>
      <c r="I300" s="2">
        <v>0</v>
      </c>
      <c r="J300" s="2">
        <v>26</v>
      </c>
      <c r="K300" s="2">
        <v>1</v>
      </c>
      <c r="L300" s="2">
        <v>0</v>
      </c>
      <c r="M300" s="2">
        <v>1</v>
      </c>
      <c r="N300" s="2">
        <v>1</v>
      </c>
      <c r="O300" s="2">
        <v>1</v>
      </c>
      <c r="P300" s="2">
        <v>1</v>
      </c>
      <c r="Q300" s="2">
        <v>0</v>
      </c>
      <c r="R300" s="2">
        <v>0</v>
      </c>
      <c r="S300" s="6"/>
      <c r="T300" s="7"/>
      <c r="U300" s="3"/>
    </row>
    <row r="301" spans="1:21">
      <c r="A301" s="2">
        <v>300</v>
      </c>
      <c r="B301" s="2">
        <v>0</v>
      </c>
      <c r="C301" s="2">
        <v>39000</v>
      </c>
      <c r="D301" s="2">
        <v>1</v>
      </c>
      <c r="E301" s="2">
        <v>1</v>
      </c>
      <c r="F301" s="2">
        <v>0</v>
      </c>
      <c r="G301" s="2">
        <v>1</v>
      </c>
      <c r="H301" s="2">
        <v>0</v>
      </c>
      <c r="I301" s="2">
        <v>0</v>
      </c>
      <c r="J301" s="2">
        <v>10</v>
      </c>
      <c r="K301" s="2">
        <v>1</v>
      </c>
      <c r="L301" s="2">
        <v>0</v>
      </c>
      <c r="M301" s="2">
        <v>1</v>
      </c>
      <c r="N301" s="2">
        <v>1</v>
      </c>
      <c r="O301" s="2">
        <v>1</v>
      </c>
      <c r="P301" s="2">
        <v>1</v>
      </c>
      <c r="Q301" s="2">
        <v>0</v>
      </c>
      <c r="R301" s="2">
        <v>0</v>
      </c>
      <c r="S301" s="6"/>
      <c r="T301" s="7"/>
      <c r="U301" s="3"/>
    </row>
    <row r="302" spans="1:21">
      <c r="A302" s="2">
        <v>301</v>
      </c>
      <c r="B302" s="2">
        <v>1</v>
      </c>
      <c r="C302" s="2">
        <v>70000</v>
      </c>
      <c r="D302" s="2">
        <v>1</v>
      </c>
      <c r="E302" s="2">
        <v>1</v>
      </c>
      <c r="F302" s="2">
        <v>1</v>
      </c>
      <c r="G302" s="2">
        <v>1</v>
      </c>
      <c r="H302" s="2">
        <v>0</v>
      </c>
      <c r="I302" s="2">
        <v>0</v>
      </c>
      <c r="J302" s="2">
        <v>18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0</v>
      </c>
      <c r="R302" s="2">
        <v>0</v>
      </c>
      <c r="S302" s="6"/>
      <c r="T302" s="7"/>
      <c r="U302" s="3"/>
    </row>
    <row r="303" spans="1:21">
      <c r="A303" s="2">
        <v>302</v>
      </c>
      <c r="B303" s="2">
        <v>0</v>
      </c>
      <c r="C303" s="2">
        <v>65000</v>
      </c>
      <c r="D303" s="2">
        <v>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24</v>
      </c>
      <c r="K303" s="2">
        <v>0</v>
      </c>
      <c r="L303" s="2">
        <v>1</v>
      </c>
      <c r="M303" s="2">
        <v>0</v>
      </c>
      <c r="N303" s="2">
        <v>1</v>
      </c>
      <c r="O303" s="2">
        <v>0</v>
      </c>
      <c r="P303" s="2">
        <v>1</v>
      </c>
      <c r="Q303" s="2">
        <v>0</v>
      </c>
      <c r="R303" s="2">
        <v>0</v>
      </c>
      <c r="S303" s="6"/>
      <c r="T303" s="7"/>
      <c r="U303" s="3"/>
    </row>
    <row r="304" spans="1:21">
      <c r="A304" s="2">
        <v>303</v>
      </c>
      <c r="B304" s="2">
        <v>0</v>
      </c>
      <c r="C304" s="2">
        <v>35000</v>
      </c>
      <c r="D304" s="2">
        <v>0</v>
      </c>
      <c r="E304" s="2">
        <v>0</v>
      </c>
      <c r="F304" s="2">
        <v>1</v>
      </c>
      <c r="G304" s="2">
        <v>0</v>
      </c>
      <c r="H304" s="2">
        <v>0</v>
      </c>
      <c r="I304" s="2">
        <v>0</v>
      </c>
      <c r="J304" s="2">
        <v>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1</v>
      </c>
      <c r="Q304" s="2">
        <v>0</v>
      </c>
      <c r="R304" s="2">
        <v>0</v>
      </c>
      <c r="S304" s="6"/>
      <c r="T304" s="7"/>
      <c r="U304" s="3"/>
    </row>
    <row r="305" spans="1:21">
      <c r="A305" s="2">
        <v>304</v>
      </c>
      <c r="B305" s="2">
        <v>1</v>
      </c>
      <c r="C305" s="2">
        <v>75000</v>
      </c>
      <c r="D305" s="2">
        <v>0</v>
      </c>
      <c r="E305" s="2">
        <v>1</v>
      </c>
      <c r="F305" s="2">
        <v>1</v>
      </c>
      <c r="G305" s="2">
        <v>1</v>
      </c>
      <c r="H305" s="2">
        <v>0</v>
      </c>
      <c r="I305" s="2">
        <v>0</v>
      </c>
      <c r="J305" s="2">
        <v>49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0</v>
      </c>
      <c r="R305" s="2">
        <v>0</v>
      </c>
      <c r="S305" s="6"/>
      <c r="T305" s="7"/>
      <c r="U305" s="3"/>
    </row>
    <row r="306" spans="1:21">
      <c r="A306" s="2">
        <v>305</v>
      </c>
      <c r="B306" s="2">
        <v>0</v>
      </c>
      <c r="C306" s="2">
        <v>49000</v>
      </c>
      <c r="D306" s="2">
        <v>1</v>
      </c>
      <c r="E306" s="2">
        <v>1</v>
      </c>
      <c r="F306" s="2">
        <v>1</v>
      </c>
      <c r="G306" s="2">
        <v>1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0</v>
      </c>
      <c r="N306" s="2">
        <v>0</v>
      </c>
      <c r="O306" s="2">
        <v>1</v>
      </c>
      <c r="P306" s="2">
        <v>1</v>
      </c>
      <c r="Q306" s="2">
        <v>0</v>
      </c>
      <c r="R306" s="2">
        <v>0</v>
      </c>
      <c r="S306" s="6"/>
      <c r="T306" s="7"/>
      <c r="U306" s="3"/>
    </row>
    <row r="307" spans="1:21">
      <c r="A307" s="2">
        <v>306</v>
      </c>
      <c r="B307" s="2">
        <v>0</v>
      </c>
      <c r="C307" s="2">
        <v>44000</v>
      </c>
      <c r="D307" s="2">
        <v>1</v>
      </c>
      <c r="E307" s="2">
        <v>0</v>
      </c>
      <c r="F307" s="2">
        <v>0</v>
      </c>
      <c r="G307" s="2">
        <v>1</v>
      </c>
      <c r="H307" s="2">
        <v>0</v>
      </c>
      <c r="I307" s="2">
        <v>0</v>
      </c>
      <c r="J307" s="2">
        <v>24</v>
      </c>
      <c r="K307" s="2">
        <v>0</v>
      </c>
      <c r="L307" s="2">
        <v>0</v>
      </c>
      <c r="M307" s="2">
        <v>0</v>
      </c>
      <c r="N307" s="2">
        <v>1</v>
      </c>
      <c r="O307" s="2">
        <v>1</v>
      </c>
      <c r="P307" s="2">
        <v>1</v>
      </c>
      <c r="Q307" s="2">
        <v>0</v>
      </c>
      <c r="R307" s="2">
        <v>0</v>
      </c>
      <c r="S307" s="6"/>
      <c r="T307" s="7"/>
      <c r="U307" s="3"/>
    </row>
    <row r="308" spans="1:21">
      <c r="A308" s="2">
        <v>307</v>
      </c>
      <c r="B308" s="2">
        <v>0</v>
      </c>
      <c r="C308" s="2">
        <v>18000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3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6"/>
      <c r="T308" s="7"/>
      <c r="U308" s="3"/>
    </row>
    <row r="309" spans="1:21">
      <c r="A309" s="2">
        <v>308</v>
      </c>
      <c r="B309" s="2">
        <v>1</v>
      </c>
      <c r="C309" s="2">
        <v>48000</v>
      </c>
      <c r="D309" s="2">
        <v>1</v>
      </c>
      <c r="E309" s="2">
        <v>0</v>
      </c>
      <c r="F309" s="2">
        <v>0</v>
      </c>
      <c r="G309" s="2">
        <v>1</v>
      </c>
      <c r="H309" s="2">
        <v>0</v>
      </c>
      <c r="I309" s="2">
        <v>0</v>
      </c>
      <c r="J309" s="2">
        <v>43</v>
      </c>
      <c r="K309" s="2">
        <v>0</v>
      </c>
      <c r="L309" s="2">
        <v>0</v>
      </c>
      <c r="M309" s="2">
        <v>0</v>
      </c>
      <c r="N309" s="2">
        <v>0</v>
      </c>
      <c r="O309" s="2">
        <v>1</v>
      </c>
      <c r="P309" s="2">
        <v>1</v>
      </c>
      <c r="Q309" s="2">
        <v>0</v>
      </c>
      <c r="R309" s="2">
        <v>1</v>
      </c>
      <c r="S309" s="6"/>
      <c r="T309" s="7"/>
      <c r="U309" s="3"/>
    </row>
    <row r="310" spans="1:21">
      <c r="A310" s="2">
        <v>309</v>
      </c>
      <c r="B310" s="2">
        <v>0</v>
      </c>
      <c r="C310" s="2">
        <v>4000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15</v>
      </c>
      <c r="K310" s="2">
        <v>0</v>
      </c>
      <c r="L310" s="2">
        <v>1</v>
      </c>
      <c r="M310" s="2">
        <v>0</v>
      </c>
      <c r="N310" s="2">
        <v>0</v>
      </c>
      <c r="O310" s="2">
        <v>0</v>
      </c>
      <c r="P310" s="2">
        <v>1</v>
      </c>
      <c r="Q310" s="2">
        <v>0</v>
      </c>
      <c r="R310" s="2">
        <v>0</v>
      </c>
      <c r="S310" s="6"/>
      <c r="T310" s="7"/>
      <c r="U310" s="3"/>
    </row>
    <row r="311" spans="1:21">
      <c r="A311" s="2">
        <v>310</v>
      </c>
      <c r="B311" s="2">
        <v>0</v>
      </c>
      <c r="C311" s="2">
        <v>2000</v>
      </c>
      <c r="D311" s="2">
        <v>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7</v>
      </c>
      <c r="K311" s="2">
        <v>0</v>
      </c>
      <c r="L311" s="2">
        <v>1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s="6"/>
      <c r="T311" s="7"/>
      <c r="U311" s="3"/>
    </row>
    <row r="312" spans="1:21">
      <c r="A312" s="2">
        <v>311</v>
      </c>
      <c r="B312" s="2">
        <v>1</v>
      </c>
      <c r="C312" s="2">
        <v>75000</v>
      </c>
      <c r="D312" s="2">
        <v>0</v>
      </c>
      <c r="E312" s="2">
        <v>1</v>
      </c>
      <c r="F312" s="2">
        <v>1</v>
      </c>
      <c r="G312" s="2">
        <v>1</v>
      </c>
      <c r="H312" s="2">
        <v>0</v>
      </c>
      <c r="I312" s="2">
        <v>0</v>
      </c>
      <c r="J312" s="2">
        <v>42</v>
      </c>
      <c r="K312" s="2">
        <v>1</v>
      </c>
      <c r="L312" s="2">
        <v>0</v>
      </c>
      <c r="M312" s="2">
        <v>1</v>
      </c>
      <c r="N312" s="2">
        <v>1</v>
      </c>
      <c r="O312" s="2">
        <v>1</v>
      </c>
      <c r="P312" s="2">
        <v>1</v>
      </c>
      <c r="Q312" s="2">
        <v>0</v>
      </c>
      <c r="R312" s="2">
        <v>0</v>
      </c>
      <c r="S312" s="6"/>
      <c r="T312" s="7"/>
      <c r="U312" s="3"/>
    </row>
    <row r="313" spans="1:21">
      <c r="A313" s="2">
        <v>312</v>
      </c>
      <c r="B313" s="2">
        <v>0</v>
      </c>
      <c r="C313" s="2">
        <v>39000</v>
      </c>
      <c r="D313" s="2">
        <v>1</v>
      </c>
      <c r="E313" s="2">
        <v>0</v>
      </c>
      <c r="F313" s="2">
        <v>0</v>
      </c>
      <c r="G313" s="2">
        <v>1</v>
      </c>
      <c r="H313" s="2">
        <v>0</v>
      </c>
      <c r="I313" s="2">
        <v>0</v>
      </c>
      <c r="J313" s="2">
        <v>23</v>
      </c>
      <c r="K313" s="2">
        <v>0</v>
      </c>
      <c r="L313" s="2">
        <v>0</v>
      </c>
      <c r="M313" s="2">
        <v>0</v>
      </c>
      <c r="N313" s="2">
        <v>1</v>
      </c>
      <c r="O313" s="2">
        <v>1</v>
      </c>
      <c r="P313" s="2">
        <v>1</v>
      </c>
      <c r="Q313" s="2">
        <v>0</v>
      </c>
      <c r="R313" s="2">
        <v>0</v>
      </c>
      <c r="S313" s="6"/>
      <c r="T313" s="7"/>
      <c r="U313" s="3"/>
    </row>
    <row r="314" spans="1:21">
      <c r="A314" s="2">
        <v>313</v>
      </c>
      <c r="B314" s="2">
        <v>1</v>
      </c>
      <c r="C314" s="2">
        <v>75000</v>
      </c>
      <c r="D314" s="2">
        <v>1</v>
      </c>
      <c r="E314" s="2">
        <v>1</v>
      </c>
      <c r="F314" s="2">
        <v>1</v>
      </c>
      <c r="G314" s="2">
        <v>1</v>
      </c>
      <c r="H314" s="2">
        <v>0</v>
      </c>
      <c r="I314" s="2">
        <v>0</v>
      </c>
      <c r="J314" s="2">
        <v>11</v>
      </c>
      <c r="K314" s="2">
        <v>1</v>
      </c>
      <c r="L314" s="2">
        <v>0</v>
      </c>
      <c r="M314" s="2">
        <v>1</v>
      </c>
      <c r="N314" s="2">
        <v>1</v>
      </c>
      <c r="O314" s="2">
        <v>0</v>
      </c>
      <c r="P314" s="2">
        <v>0</v>
      </c>
      <c r="Q314" s="2">
        <v>1</v>
      </c>
      <c r="R314" s="2">
        <v>0</v>
      </c>
      <c r="S314" s="6"/>
      <c r="T314" s="7"/>
      <c r="U314" s="3"/>
    </row>
    <row r="315" spans="1:21">
      <c r="A315" s="2">
        <v>314</v>
      </c>
      <c r="B315" s="2">
        <v>0</v>
      </c>
      <c r="C315" s="2">
        <v>26000</v>
      </c>
      <c r="D315" s="2">
        <v>0</v>
      </c>
      <c r="E315" s="2">
        <v>0</v>
      </c>
      <c r="F315" s="2">
        <v>0</v>
      </c>
      <c r="G315" s="2">
        <v>1</v>
      </c>
      <c r="H315" s="2">
        <v>0</v>
      </c>
      <c r="I315" s="2">
        <v>0</v>
      </c>
      <c r="J315" s="2">
        <v>25</v>
      </c>
      <c r="K315" s="2">
        <v>0</v>
      </c>
      <c r="L315" s="2">
        <v>0</v>
      </c>
      <c r="M315" s="2">
        <v>1</v>
      </c>
      <c r="N315" s="2">
        <v>1</v>
      </c>
      <c r="O315" s="2">
        <v>1</v>
      </c>
      <c r="P315" s="2">
        <v>1</v>
      </c>
      <c r="Q315" s="2">
        <v>0</v>
      </c>
      <c r="R315" s="2">
        <v>0</v>
      </c>
      <c r="S315" s="6"/>
      <c r="T315" s="7"/>
      <c r="U315" s="3"/>
    </row>
    <row r="316" spans="1:21">
      <c r="A316" s="2">
        <v>315</v>
      </c>
      <c r="B316" s="2">
        <v>1</v>
      </c>
      <c r="C316" s="2">
        <v>75000</v>
      </c>
      <c r="D316" s="2">
        <v>0</v>
      </c>
      <c r="E316" s="2">
        <v>0</v>
      </c>
      <c r="F316" s="2">
        <v>1</v>
      </c>
      <c r="G316" s="2">
        <v>1</v>
      </c>
      <c r="H316" s="2">
        <v>0</v>
      </c>
      <c r="I316" s="2">
        <v>0</v>
      </c>
      <c r="J316" s="2">
        <v>6</v>
      </c>
      <c r="K316" s="2">
        <v>1</v>
      </c>
      <c r="L316" s="2">
        <v>0</v>
      </c>
      <c r="M316" s="2">
        <v>0</v>
      </c>
      <c r="N316" s="2">
        <v>0</v>
      </c>
      <c r="O316" s="2">
        <v>1</v>
      </c>
      <c r="P316" s="2">
        <v>1</v>
      </c>
      <c r="Q316" s="2">
        <v>0</v>
      </c>
      <c r="R316" s="2">
        <v>1</v>
      </c>
      <c r="S316" s="6"/>
      <c r="T316" s="7"/>
      <c r="U316" s="3"/>
    </row>
    <row r="317" spans="1:21">
      <c r="A317" s="2">
        <v>316</v>
      </c>
      <c r="B317" s="2">
        <v>0</v>
      </c>
      <c r="C317" s="2">
        <v>22000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25</v>
      </c>
      <c r="K317" s="2">
        <v>0</v>
      </c>
      <c r="L317" s="2">
        <v>1</v>
      </c>
      <c r="M317" s="2">
        <v>0</v>
      </c>
      <c r="N317" s="2">
        <v>1</v>
      </c>
      <c r="O317" s="2">
        <v>1</v>
      </c>
      <c r="P317" s="2">
        <v>1</v>
      </c>
      <c r="Q317" s="2">
        <v>0</v>
      </c>
      <c r="R317" s="2">
        <v>0</v>
      </c>
      <c r="S317" s="6"/>
      <c r="T317" s="7"/>
      <c r="U317" s="3"/>
    </row>
    <row r="318" spans="1:21">
      <c r="A318" s="2">
        <v>317</v>
      </c>
      <c r="B318" s="2">
        <v>0</v>
      </c>
      <c r="C318" s="2">
        <v>7000</v>
      </c>
      <c r="D318" s="2">
        <v>1</v>
      </c>
      <c r="E318" s="2">
        <v>1</v>
      </c>
      <c r="F318" s="2">
        <v>0</v>
      </c>
      <c r="G318" s="2">
        <v>0</v>
      </c>
      <c r="H318" s="2">
        <v>1</v>
      </c>
      <c r="I318" s="2">
        <v>0</v>
      </c>
      <c r="J318" s="2">
        <v>28</v>
      </c>
      <c r="K318" s="2">
        <v>0</v>
      </c>
      <c r="L318" s="2">
        <v>1</v>
      </c>
      <c r="M318" s="2">
        <v>0</v>
      </c>
      <c r="N318" s="2">
        <v>1</v>
      </c>
      <c r="O318" s="2">
        <v>0</v>
      </c>
      <c r="P318" s="2">
        <v>1</v>
      </c>
      <c r="Q318" s="2">
        <v>0</v>
      </c>
      <c r="R318" s="2">
        <v>0</v>
      </c>
      <c r="S318" s="6"/>
      <c r="T318" s="7"/>
      <c r="U318" s="3"/>
    </row>
    <row r="319" spans="1:21">
      <c r="A319" s="2">
        <v>318</v>
      </c>
      <c r="B319" s="2">
        <v>1</v>
      </c>
      <c r="C319" s="2">
        <v>68000</v>
      </c>
      <c r="D319" s="2">
        <v>1</v>
      </c>
      <c r="E319" s="2">
        <v>1</v>
      </c>
      <c r="F319" s="2">
        <v>0</v>
      </c>
      <c r="G319" s="2">
        <v>0</v>
      </c>
      <c r="H319" s="2">
        <v>0</v>
      </c>
      <c r="I319" s="2">
        <v>0</v>
      </c>
      <c r="J319" s="2">
        <v>30</v>
      </c>
      <c r="K319" s="2">
        <v>1</v>
      </c>
      <c r="L319" s="2">
        <v>0</v>
      </c>
      <c r="M319" s="2">
        <v>1</v>
      </c>
      <c r="N319" s="2">
        <v>1</v>
      </c>
      <c r="O319" s="2">
        <v>0</v>
      </c>
      <c r="P319" s="2">
        <v>0</v>
      </c>
      <c r="Q319" s="2">
        <v>0</v>
      </c>
      <c r="R319" s="2">
        <v>0</v>
      </c>
      <c r="S319" s="6"/>
      <c r="T319" s="7"/>
      <c r="U319" s="3"/>
    </row>
    <row r="320" spans="1:21">
      <c r="A320" s="2">
        <v>319</v>
      </c>
      <c r="B320" s="2">
        <v>0</v>
      </c>
      <c r="C320" s="2">
        <v>45000</v>
      </c>
      <c r="D320" s="2">
        <v>0</v>
      </c>
      <c r="E320" s="2">
        <v>1</v>
      </c>
      <c r="F320" s="2">
        <v>0</v>
      </c>
      <c r="G320" s="2">
        <v>1</v>
      </c>
      <c r="H320" s="2">
        <v>0</v>
      </c>
      <c r="I320" s="2">
        <v>0</v>
      </c>
      <c r="J320" s="2">
        <v>14</v>
      </c>
      <c r="K320" s="2">
        <v>1</v>
      </c>
      <c r="L320" s="2">
        <v>0</v>
      </c>
      <c r="M320" s="2">
        <v>0</v>
      </c>
      <c r="N320" s="2">
        <v>1</v>
      </c>
      <c r="O320" s="2">
        <v>0</v>
      </c>
      <c r="P320" s="2">
        <v>1</v>
      </c>
      <c r="Q320" s="2">
        <v>0</v>
      </c>
      <c r="R320" s="2">
        <v>0</v>
      </c>
      <c r="S320" s="6"/>
      <c r="T320" s="7"/>
      <c r="U320" s="3"/>
    </row>
    <row r="321" spans="1:21">
      <c r="A321" s="2">
        <v>320</v>
      </c>
      <c r="B321" s="2">
        <v>1</v>
      </c>
      <c r="C321" s="2">
        <v>64000</v>
      </c>
      <c r="D321" s="2">
        <v>0</v>
      </c>
      <c r="E321" s="2">
        <v>1</v>
      </c>
      <c r="F321" s="2">
        <v>1</v>
      </c>
      <c r="G321" s="2">
        <v>0</v>
      </c>
      <c r="H321" s="2">
        <v>0</v>
      </c>
      <c r="I321" s="2">
        <v>0</v>
      </c>
      <c r="J321" s="2">
        <v>10</v>
      </c>
      <c r="K321" s="2">
        <v>1</v>
      </c>
      <c r="L321" s="2">
        <v>0</v>
      </c>
      <c r="M321" s="2">
        <v>1</v>
      </c>
      <c r="N321" s="2">
        <v>1</v>
      </c>
      <c r="O321" s="2">
        <v>1</v>
      </c>
      <c r="P321" s="2">
        <v>1</v>
      </c>
      <c r="Q321" s="2">
        <v>1</v>
      </c>
      <c r="R321" s="2">
        <v>0</v>
      </c>
      <c r="S321" s="6"/>
      <c r="T321" s="7"/>
      <c r="U321" s="3"/>
    </row>
    <row r="322" spans="1:21">
      <c r="A322" s="2">
        <v>321</v>
      </c>
      <c r="B322" s="2">
        <v>0</v>
      </c>
      <c r="C322" s="2">
        <v>23000</v>
      </c>
      <c r="D322" s="2">
        <v>1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>
        <v>1</v>
      </c>
      <c r="P322" s="2">
        <v>1</v>
      </c>
      <c r="Q322" s="2">
        <v>0</v>
      </c>
      <c r="R322" s="2">
        <v>0</v>
      </c>
      <c r="S322" s="6"/>
      <c r="T322" s="7"/>
      <c r="U322" s="3"/>
    </row>
    <row r="323" spans="1:21">
      <c r="A323" s="2">
        <v>322</v>
      </c>
      <c r="B323" s="2">
        <v>1</v>
      </c>
      <c r="C323" s="2">
        <v>75000</v>
      </c>
      <c r="D323" s="2">
        <v>1</v>
      </c>
      <c r="E323" s="2">
        <v>0</v>
      </c>
      <c r="F323" s="2">
        <v>1</v>
      </c>
      <c r="G323" s="2">
        <v>1</v>
      </c>
      <c r="H323" s="2">
        <v>0</v>
      </c>
      <c r="I323" s="2">
        <v>0</v>
      </c>
      <c r="J323" s="2">
        <v>43</v>
      </c>
      <c r="K323" s="2">
        <v>0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  <c r="S323" s="6"/>
      <c r="T323" s="7"/>
      <c r="U323" s="3"/>
    </row>
    <row r="324" spans="1:21">
      <c r="A324" s="2">
        <v>323</v>
      </c>
      <c r="B324" s="2">
        <v>0</v>
      </c>
      <c r="C324" s="2">
        <v>4000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37</v>
      </c>
      <c r="K324" s="2">
        <v>0</v>
      </c>
      <c r="L324" s="2">
        <v>0</v>
      </c>
      <c r="M324" s="2">
        <v>0</v>
      </c>
      <c r="N324" s="2">
        <v>0</v>
      </c>
      <c r="O324" s="2">
        <v>1</v>
      </c>
      <c r="P324" s="2">
        <v>1</v>
      </c>
      <c r="Q324" s="2">
        <v>0</v>
      </c>
      <c r="R324" s="2">
        <v>0</v>
      </c>
      <c r="S324" s="6"/>
      <c r="T324" s="7"/>
      <c r="U324" s="3"/>
    </row>
    <row r="325" spans="1:21">
      <c r="A325" s="2">
        <v>324</v>
      </c>
      <c r="B325" s="2">
        <v>0</v>
      </c>
      <c r="C325" s="2">
        <v>18000</v>
      </c>
      <c r="D325" s="2">
        <v>1</v>
      </c>
      <c r="E325" s="2">
        <v>0</v>
      </c>
      <c r="F325" s="2">
        <v>0</v>
      </c>
      <c r="G325" s="2">
        <v>1</v>
      </c>
      <c r="H325" s="2">
        <v>0</v>
      </c>
      <c r="I325" s="2">
        <v>0</v>
      </c>
      <c r="J325" s="2">
        <v>38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1</v>
      </c>
      <c r="Q325" s="2">
        <v>0</v>
      </c>
      <c r="R325" s="2">
        <v>0</v>
      </c>
      <c r="S325" s="6"/>
      <c r="T325" s="7"/>
      <c r="U325" s="3"/>
    </row>
    <row r="326" spans="1:21">
      <c r="A326" s="2">
        <v>325</v>
      </c>
      <c r="B326" s="2">
        <v>0</v>
      </c>
      <c r="C326" s="2">
        <v>23000</v>
      </c>
      <c r="D326" s="2">
        <v>1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13</v>
      </c>
      <c r="K326" s="2">
        <v>0</v>
      </c>
      <c r="L326" s="2">
        <v>0</v>
      </c>
      <c r="M326" s="2">
        <v>0</v>
      </c>
      <c r="N326" s="2">
        <v>0</v>
      </c>
      <c r="O326" s="2">
        <v>1</v>
      </c>
      <c r="P326" s="2">
        <v>1</v>
      </c>
      <c r="Q326" s="2">
        <v>0</v>
      </c>
      <c r="R326" s="2">
        <v>0</v>
      </c>
      <c r="S326" s="6"/>
      <c r="T326" s="7"/>
      <c r="U326" s="3"/>
    </row>
    <row r="327" spans="1:21">
      <c r="A327" s="2">
        <v>326</v>
      </c>
      <c r="B327" s="2">
        <v>0</v>
      </c>
      <c r="C327" s="2">
        <v>25000</v>
      </c>
      <c r="D327" s="2">
        <v>0</v>
      </c>
      <c r="E327" s="2">
        <v>0</v>
      </c>
      <c r="F327" s="2">
        <v>1</v>
      </c>
      <c r="G327" s="2">
        <v>0</v>
      </c>
      <c r="H327" s="2">
        <v>0</v>
      </c>
      <c r="I327" s="2">
        <v>0</v>
      </c>
      <c r="J327" s="2">
        <v>17</v>
      </c>
      <c r="K327" s="2">
        <v>0</v>
      </c>
      <c r="L327" s="2">
        <v>0</v>
      </c>
      <c r="M327" s="2">
        <v>0</v>
      </c>
      <c r="N327" s="2">
        <v>1</v>
      </c>
      <c r="O327" s="2">
        <v>0</v>
      </c>
      <c r="P327" s="2">
        <v>1</v>
      </c>
      <c r="Q327" s="2">
        <v>0</v>
      </c>
      <c r="R327" s="2">
        <v>0</v>
      </c>
      <c r="S327" s="6"/>
      <c r="T327" s="7"/>
      <c r="U327" s="3"/>
    </row>
    <row r="328" spans="1:21">
      <c r="A328" s="2">
        <v>327</v>
      </c>
      <c r="B328" s="2">
        <v>0</v>
      </c>
      <c r="C328" s="2">
        <v>75000</v>
      </c>
      <c r="D328" s="2">
        <v>1</v>
      </c>
      <c r="E328" s="2">
        <v>1</v>
      </c>
      <c r="F328" s="2">
        <v>0</v>
      </c>
      <c r="G328" s="2">
        <v>0</v>
      </c>
      <c r="H328" s="2">
        <v>0</v>
      </c>
      <c r="I328" s="2">
        <v>0</v>
      </c>
      <c r="J328" s="2">
        <v>20</v>
      </c>
      <c r="K328" s="2">
        <v>0</v>
      </c>
      <c r="L328" s="2">
        <v>1</v>
      </c>
      <c r="M328" s="2">
        <v>1</v>
      </c>
      <c r="N328" s="2">
        <v>1</v>
      </c>
      <c r="O328" s="2">
        <v>0</v>
      </c>
      <c r="P328" s="2">
        <v>0</v>
      </c>
      <c r="Q328" s="2">
        <v>1</v>
      </c>
      <c r="R328" s="2">
        <v>0</v>
      </c>
      <c r="S328" s="6"/>
      <c r="T328" s="7"/>
      <c r="U328" s="3"/>
    </row>
    <row r="329" spans="1:21">
      <c r="A329" s="2">
        <v>328</v>
      </c>
      <c r="B329" s="2">
        <v>0</v>
      </c>
      <c r="C329" s="2">
        <v>34000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12</v>
      </c>
      <c r="K329" s="2">
        <v>0</v>
      </c>
      <c r="L329" s="2">
        <v>1</v>
      </c>
      <c r="M329" s="2">
        <v>0</v>
      </c>
      <c r="N329" s="2">
        <v>1</v>
      </c>
      <c r="O329" s="2">
        <v>0</v>
      </c>
      <c r="P329" s="2">
        <v>1</v>
      </c>
      <c r="Q329" s="2">
        <v>0</v>
      </c>
      <c r="R329" s="2">
        <v>0</v>
      </c>
      <c r="S329" s="6"/>
      <c r="T329" s="7"/>
      <c r="U329" s="3"/>
    </row>
    <row r="330" spans="1:21">
      <c r="A330" s="2">
        <v>329</v>
      </c>
      <c r="B330" s="2">
        <v>0</v>
      </c>
      <c r="C330" s="2">
        <v>60000</v>
      </c>
      <c r="D330" s="2">
        <v>0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2">
        <v>18</v>
      </c>
      <c r="K330" s="2">
        <v>1</v>
      </c>
      <c r="L330" s="2">
        <v>1</v>
      </c>
      <c r="M330" s="2">
        <v>0</v>
      </c>
      <c r="N330" s="2">
        <v>1</v>
      </c>
      <c r="O330" s="2">
        <v>1</v>
      </c>
      <c r="P330" s="2">
        <v>1</v>
      </c>
      <c r="Q330" s="2">
        <v>0</v>
      </c>
      <c r="R330" s="2">
        <v>1</v>
      </c>
      <c r="S330" s="6"/>
      <c r="T330" s="7"/>
      <c r="U330" s="3"/>
    </row>
    <row r="331" spans="1:21">
      <c r="A331" s="2">
        <v>330</v>
      </c>
      <c r="B331" s="2">
        <v>0</v>
      </c>
      <c r="C331" s="2">
        <v>49000</v>
      </c>
      <c r="D331" s="2">
        <v>0</v>
      </c>
      <c r="E331" s="2">
        <v>1</v>
      </c>
      <c r="F331" s="2">
        <v>0</v>
      </c>
      <c r="G331" s="2">
        <v>0</v>
      </c>
      <c r="H331" s="2">
        <v>0</v>
      </c>
      <c r="I331" s="2">
        <v>0</v>
      </c>
      <c r="J331" s="2">
        <v>11</v>
      </c>
      <c r="K331" s="2">
        <v>1</v>
      </c>
      <c r="L331" s="2">
        <v>0</v>
      </c>
      <c r="M331" s="2">
        <v>1</v>
      </c>
      <c r="N331" s="2">
        <v>1</v>
      </c>
      <c r="O331" s="2">
        <v>1</v>
      </c>
      <c r="P331" s="2">
        <v>1</v>
      </c>
      <c r="Q331" s="2">
        <v>0</v>
      </c>
      <c r="R331" s="2">
        <v>0</v>
      </c>
      <c r="S331" s="6"/>
      <c r="T331" s="7"/>
      <c r="U331" s="3"/>
    </row>
    <row r="332" spans="1:21">
      <c r="A332" s="2">
        <v>331</v>
      </c>
      <c r="B332" s="2">
        <v>0</v>
      </c>
      <c r="C332" s="2">
        <v>68000</v>
      </c>
      <c r="D332" s="2">
        <v>0</v>
      </c>
      <c r="E332" s="2">
        <v>1</v>
      </c>
      <c r="F332" s="2">
        <v>0</v>
      </c>
      <c r="G332" s="2">
        <v>1</v>
      </c>
      <c r="H332" s="2">
        <v>0</v>
      </c>
      <c r="I332" s="2">
        <v>0</v>
      </c>
      <c r="J332" s="2">
        <v>34</v>
      </c>
      <c r="K332" s="2">
        <v>0</v>
      </c>
      <c r="L332" s="2">
        <v>0</v>
      </c>
      <c r="M332" s="2">
        <v>1</v>
      </c>
      <c r="N332" s="2">
        <v>1</v>
      </c>
      <c r="O332" s="2">
        <v>1</v>
      </c>
      <c r="P332" s="2">
        <v>1</v>
      </c>
      <c r="Q332" s="2">
        <v>0</v>
      </c>
      <c r="R332" s="2">
        <v>0</v>
      </c>
      <c r="S332" s="6"/>
      <c r="T332" s="7"/>
      <c r="U332" s="3"/>
    </row>
    <row r="333" spans="1:21">
      <c r="A333" s="2">
        <v>332</v>
      </c>
      <c r="B333" s="2">
        <v>0</v>
      </c>
      <c r="C333" s="2">
        <v>41000</v>
      </c>
      <c r="D333" s="2">
        <v>0</v>
      </c>
      <c r="E333" s="2">
        <v>0</v>
      </c>
      <c r="F333" s="2">
        <v>1</v>
      </c>
      <c r="G333" s="2">
        <v>0</v>
      </c>
      <c r="H333" s="2">
        <v>0</v>
      </c>
      <c r="I333" s="2">
        <v>1</v>
      </c>
      <c r="J333" s="2">
        <v>2</v>
      </c>
      <c r="K333" s="2">
        <v>0</v>
      </c>
      <c r="L333" s="2">
        <v>0</v>
      </c>
      <c r="M333" s="2">
        <v>0</v>
      </c>
      <c r="N333" s="2">
        <v>1</v>
      </c>
      <c r="O333" s="2">
        <v>1</v>
      </c>
      <c r="P333" s="2">
        <v>1</v>
      </c>
      <c r="Q333" s="2">
        <v>0</v>
      </c>
      <c r="R333" s="2">
        <v>0</v>
      </c>
      <c r="S333" s="6"/>
      <c r="T333" s="7"/>
      <c r="U333" s="3"/>
    </row>
    <row r="334" spans="1:21">
      <c r="A334" s="2">
        <v>333</v>
      </c>
      <c r="B334" s="2">
        <v>0</v>
      </c>
      <c r="C334" s="2">
        <v>69000</v>
      </c>
      <c r="D334" s="2">
        <v>1</v>
      </c>
      <c r="E334" s="2">
        <v>0</v>
      </c>
      <c r="F334" s="2">
        <v>1</v>
      </c>
      <c r="G334" s="2">
        <v>1</v>
      </c>
      <c r="H334" s="2">
        <v>0</v>
      </c>
      <c r="I334" s="2">
        <v>0</v>
      </c>
      <c r="J334" s="2">
        <v>39</v>
      </c>
      <c r="K334" s="2">
        <v>0</v>
      </c>
      <c r="L334" s="2">
        <v>1</v>
      </c>
      <c r="M334" s="2">
        <v>0</v>
      </c>
      <c r="N334" s="2">
        <v>1</v>
      </c>
      <c r="O334" s="2">
        <v>0</v>
      </c>
      <c r="P334" s="2">
        <v>1</v>
      </c>
      <c r="Q334" s="2">
        <v>0</v>
      </c>
      <c r="R334" s="2">
        <v>0</v>
      </c>
      <c r="S334" s="6"/>
      <c r="T334" s="7"/>
      <c r="U334" s="3"/>
    </row>
    <row r="335" spans="1:21">
      <c r="A335" s="2">
        <v>334</v>
      </c>
      <c r="B335" s="2">
        <v>0</v>
      </c>
      <c r="C335" s="2">
        <v>39000</v>
      </c>
      <c r="D335" s="2">
        <v>1</v>
      </c>
      <c r="E335" s="2">
        <v>1</v>
      </c>
      <c r="F335" s="2">
        <v>1</v>
      </c>
      <c r="G335" s="2">
        <v>1</v>
      </c>
      <c r="H335" s="2">
        <v>0</v>
      </c>
      <c r="I335" s="2">
        <v>0</v>
      </c>
      <c r="J335" s="2">
        <v>27</v>
      </c>
      <c r="K335" s="2">
        <v>0</v>
      </c>
      <c r="L335" s="2">
        <v>0</v>
      </c>
      <c r="M335" s="2">
        <v>0</v>
      </c>
      <c r="N335" s="2">
        <v>0</v>
      </c>
      <c r="O335" s="2">
        <v>1</v>
      </c>
      <c r="P335" s="2">
        <v>1</v>
      </c>
      <c r="Q335" s="2">
        <v>0</v>
      </c>
      <c r="R335" s="2">
        <v>0</v>
      </c>
      <c r="S335" s="6"/>
      <c r="T335" s="7"/>
      <c r="U335" s="3"/>
    </row>
    <row r="336" spans="1:21">
      <c r="A336" s="2">
        <v>335</v>
      </c>
      <c r="B336" s="2">
        <v>0</v>
      </c>
      <c r="C336" s="2">
        <v>24000</v>
      </c>
      <c r="D336" s="2">
        <v>1</v>
      </c>
      <c r="E336" s="2">
        <v>0</v>
      </c>
      <c r="F336" s="2">
        <v>1</v>
      </c>
      <c r="G336" s="2">
        <v>1</v>
      </c>
      <c r="H336" s="2">
        <v>0</v>
      </c>
      <c r="I336" s="2">
        <v>0</v>
      </c>
      <c r="J336" s="2">
        <v>9</v>
      </c>
      <c r="K336" s="2">
        <v>0</v>
      </c>
      <c r="L336" s="2">
        <v>0</v>
      </c>
      <c r="M336" s="2">
        <v>0</v>
      </c>
      <c r="N336" s="2">
        <v>0</v>
      </c>
      <c r="O336" s="2">
        <v>1</v>
      </c>
      <c r="P336" s="2">
        <v>1</v>
      </c>
      <c r="Q336" s="2">
        <v>0</v>
      </c>
      <c r="R336" s="2">
        <v>0</v>
      </c>
      <c r="S336" s="6"/>
      <c r="T336" s="7"/>
      <c r="U336" s="3"/>
    </row>
    <row r="337" spans="1:21">
      <c r="A337" s="2">
        <v>336</v>
      </c>
      <c r="B337" s="2">
        <v>0</v>
      </c>
      <c r="C337" s="2">
        <v>6000</v>
      </c>
      <c r="D337" s="2">
        <v>1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16</v>
      </c>
      <c r="K337" s="2">
        <v>0</v>
      </c>
      <c r="L337" s="2">
        <v>1</v>
      </c>
      <c r="M337" s="2">
        <v>0</v>
      </c>
      <c r="N337" s="2">
        <v>1</v>
      </c>
      <c r="O337" s="2">
        <v>1</v>
      </c>
      <c r="P337" s="2">
        <v>1</v>
      </c>
      <c r="Q337" s="2">
        <v>0</v>
      </c>
      <c r="R337" s="2">
        <v>0</v>
      </c>
      <c r="S337" s="6"/>
      <c r="T337" s="7"/>
      <c r="U337" s="3"/>
    </row>
    <row r="338" spans="1:21">
      <c r="A338" s="2">
        <v>337</v>
      </c>
      <c r="B338" s="2">
        <v>0</v>
      </c>
      <c r="C338" s="2">
        <v>9000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1</v>
      </c>
      <c r="J338" s="2">
        <v>8</v>
      </c>
      <c r="K338" s="2">
        <v>0</v>
      </c>
      <c r="L338" s="2">
        <v>0</v>
      </c>
      <c r="M338" s="2">
        <v>1</v>
      </c>
      <c r="N338" s="2">
        <v>1</v>
      </c>
      <c r="O338" s="2">
        <v>1</v>
      </c>
      <c r="P338" s="2">
        <v>1</v>
      </c>
      <c r="Q338" s="2">
        <v>0</v>
      </c>
      <c r="R338" s="2">
        <v>0</v>
      </c>
      <c r="S338" s="6"/>
      <c r="T338" s="7"/>
      <c r="U338" s="3"/>
    </row>
    <row r="339" spans="1:21">
      <c r="A339" s="2">
        <v>338</v>
      </c>
      <c r="B339" s="2">
        <v>0</v>
      </c>
      <c r="C339" s="2">
        <v>9000</v>
      </c>
      <c r="D339" s="2">
        <v>1</v>
      </c>
      <c r="E339" s="2">
        <v>0</v>
      </c>
      <c r="F339" s="2">
        <v>0</v>
      </c>
      <c r="G339" s="2">
        <v>0</v>
      </c>
      <c r="H339" s="2">
        <v>0</v>
      </c>
      <c r="I339" s="2">
        <v>1</v>
      </c>
      <c r="J339" s="2">
        <v>28</v>
      </c>
      <c r="K339" s="2">
        <v>0</v>
      </c>
      <c r="L339" s="2">
        <v>1</v>
      </c>
      <c r="M339" s="2">
        <v>0</v>
      </c>
      <c r="N339" s="2">
        <v>1</v>
      </c>
      <c r="O339" s="2">
        <v>1</v>
      </c>
      <c r="P339" s="2">
        <v>1</v>
      </c>
      <c r="Q339" s="2">
        <v>0</v>
      </c>
      <c r="R339" s="2">
        <v>0</v>
      </c>
      <c r="S339" s="6"/>
      <c r="T339" s="7"/>
      <c r="U339" s="3"/>
    </row>
    <row r="340" spans="1:21">
      <c r="A340" s="2">
        <v>339</v>
      </c>
      <c r="B340" s="2">
        <v>0</v>
      </c>
      <c r="C340" s="2">
        <v>55000</v>
      </c>
      <c r="D340" s="2">
        <v>0</v>
      </c>
      <c r="E340" s="2">
        <v>1</v>
      </c>
      <c r="F340" s="2">
        <v>1</v>
      </c>
      <c r="G340" s="2">
        <v>1</v>
      </c>
      <c r="H340" s="2">
        <v>0</v>
      </c>
      <c r="I340" s="2">
        <v>0</v>
      </c>
      <c r="J340" s="2">
        <v>37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>
        <v>0</v>
      </c>
      <c r="R340" s="2">
        <v>0</v>
      </c>
      <c r="S340" s="6"/>
      <c r="T340" s="7"/>
      <c r="U340" s="3"/>
    </row>
    <row r="341" spans="1:21">
      <c r="A341" s="2">
        <v>340</v>
      </c>
      <c r="B341" s="2">
        <v>0</v>
      </c>
      <c r="C341" s="2">
        <v>28000</v>
      </c>
      <c r="D341" s="2">
        <v>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36</v>
      </c>
      <c r="K341" s="2">
        <v>0</v>
      </c>
      <c r="L341" s="2">
        <v>1</v>
      </c>
      <c r="M341" s="2">
        <v>0</v>
      </c>
      <c r="N341" s="2">
        <v>0</v>
      </c>
      <c r="O341" s="2">
        <v>1</v>
      </c>
      <c r="P341" s="2">
        <v>1</v>
      </c>
      <c r="Q341" s="2">
        <v>0</v>
      </c>
      <c r="R341" s="2">
        <v>0</v>
      </c>
      <c r="S341" s="6"/>
      <c r="T341" s="7"/>
      <c r="U341" s="3"/>
    </row>
    <row r="342" spans="1:21">
      <c r="A342" s="2">
        <v>341</v>
      </c>
      <c r="B342" s="2">
        <v>0</v>
      </c>
      <c r="C342" s="2">
        <v>25000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30</v>
      </c>
      <c r="K342" s="2">
        <v>0</v>
      </c>
      <c r="L342" s="2">
        <v>0</v>
      </c>
      <c r="M342" s="2">
        <v>0</v>
      </c>
      <c r="N342" s="2">
        <v>1</v>
      </c>
      <c r="O342" s="2">
        <v>0</v>
      </c>
      <c r="P342" s="2">
        <v>1</v>
      </c>
      <c r="Q342" s="2">
        <v>0</v>
      </c>
      <c r="R342" s="2">
        <v>1</v>
      </c>
      <c r="S342" s="6"/>
      <c r="T342" s="7"/>
      <c r="U342" s="3"/>
    </row>
    <row r="343" spans="1:21">
      <c r="A343" s="2">
        <v>342</v>
      </c>
      <c r="B343" s="2">
        <v>0</v>
      </c>
      <c r="C343" s="2">
        <v>39000</v>
      </c>
      <c r="D343" s="2">
        <v>0</v>
      </c>
      <c r="E343" s="2">
        <v>0</v>
      </c>
      <c r="F343" s="2">
        <v>1</v>
      </c>
      <c r="G343" s="2">
        <v>1</v>
      </c>
      <c r="H343" s="2">
        <v>0</v>
      </c>
      <c r="I343" s="2">
        <v>0</v>
      </c>
      <c r="J343" s="2">
        <v>36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1</v>
      </c>
      <c r="Q343" s="2">
        <v>0</v>
      </c>
      <c r="R343" s="2">
        <v>0</v>
      </c>
      <c r="S343" s="6"/>
      <c r="T343" s="7"/>
      <c r="U343" s="3"/>
    </row>
    <row r="344" spans="1:21">
      <c r="A344" s="2">
        <v>343</v>
      </c>
      <c r="B344" s="2">
        <v>0</v>
      </c>
      <c r="C344" s="2">
        <v>48000</v>
      </c>
      <c r="D344" s="2">
        <v>0</v>
      </c>
      <c r="E344" s="2">
        <v>1</v>
      </c>
      <c r="F344" s="2">
        <v>1</v>
      </c>
      <c r="G344" s="2">
        <v>1</v>
      </c>
      <c r="H344" s="2">
        <v>0</v>
      </c>
      <c r="I344" s="2">
        <v>0</v>
      </c>
      <c r="J344" s="2">
        <v>7</v>
      </c>
      <c r="K344" s="2">
        <v>1</v>
      </c>
      <c r="L344" s="2">
        <v>0</v>
      </c>
      <c r="M344" s="2">
        <v>0</v>
      </c>
      <c r="N344" s="2">
        <v>0</v>
      </c>
      <c r="O344" s="2">
        <v>1</v>
      </c>
      <c r="P344" s="2">
        <v>1</v>
      </c>
      <c r="Q344" s="2">
        <v>0</v>
      </c>
      <c r="R344" s="2">
        <v>0</v>
      </c>
      <c r="S344" s="6"/>
      <c r="T344" s="7"/>
      <c r="U344" s="3"/>
    </row>
    <row r="345" spans="1:21">
      <c r="A345" s="2">
        <v>344</v>
      </c>
      <c r="B345" s="2">
        <v>0</v>
      </c>
      <c r="C345" s="2">
        <v>28000</v>
      </c>
      <c r="D345" s="2">
        <v>0</v>
      </c>
      <c r="E345" s="2">
        <v>0</v>
      </c>
      <c r="F345" s="2">
        <v>0</v>
      </c>
      <c r="G345" s="2">
        <v>1</v>
      </c>
      <c r="H345" s="2">
        <v>0</v>
      </c>
      <c r="I345" s="2">
        <v>0</v>
      </c>
      <c r="J345" s="2">
        <v>11</v>
      </c>
      <c r="K345" s="2">
        <v>0</v>
      </c>
      <c r="L345" s="2">
        <v>0</v>
      </c>
      <c r="M345" s="2">
        <v>0</v>
      </c>
      <c r="N345" s="2">
        <v>1</v>
      </c>
      <c r="O345" s="2">
        <v>1</v>
      </c>
      <c r="P345" s="2">
        <v>1</v>
      </c>
      <c r="Q345" s="2">
        <v>0</v>
      </c>
      <c r="R345" s="2">
        <v>0</v>
      </c>
      <c r="S345" s="6"/>
      <c r="T345" s="7"/>
      <c r="U345" s="3"/>
    </row>
    <row r="346" spans="1:21">
      <c r="A346" s="2">
        <v>345</v>
      </c>
      <c r="B346" s="2">
        <v>0</v>
      </c>
      <c r="C346" s="2">
        <v>6000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15</v>
      </c>
      <c r="K346" s="2">
        <v>0</v>
      </c>
      <c r="L346" s="2">
        <v>1</v>
      </c>
      <c r="M346" s="2">
        <v>0</v>
      </c>
      <c r="N346" s="2">
        <v>1</v>
      </c>
      <c r="O346" s="2">
        <v>0</v>
      </c>
      <c r="P346" s="2">
        <v>1</v>
      </c>
      <c r="Q346" s="2">
        <v>1</v>
      </c>
      <c r="R346" s="2">
        <v>0</v>
      </c>
      <c r="S346" s="6"/>
      <c r="T346" s="7"/>
      <c r="U346" s="3"/>
    </row>
    <row r="347" spans="1:21">
      <c r="A347" s="2">
        <v>346</v>
      </c>
      <c r="B347" s="2">
        <v>0</v>
      </c>
      <c r="C347" s="2">
        <v>51000</v>
      </c>
      <c r="D347" s="2">
        <v>1</v>
      </c>
      <c r="E347" s="2">
        <v>1</v>
      </c>
      <c r="F347" s="2">
        <v>0</v>
      </c>
      <c r="G347" s="2">
        <v>0</v>
      </c>
      <c r="H347" s="2">
        <v>0</v>
      </c>
      <c r="I347" s="2">
        <v>0</v>
      </c>
      <c r="J347" s="2">
        <v>7</v>
      </c>
      <c r="K347" s="2">
        <v>0</v>
      </c>
      <c r="L347" s="2">
        <v>1</v>
      </c>
      <c r="M347" s="2">
        <v>0</v>
      </c>
      <c r="N347" s="2">
        <v>0</v>
      </c>
      <c r="O347" s="2">
        <v>1</v>
      </c>
      <c r="P347" s="2">
        <v>1</v>
      </c>
      <c r="Q347" s="2">
        <v>0</v>
      </c>
      <c r="R347" s="2">
        <v>0</v>
      </c>
      <c r="S347" s="6"/>
      <c r="T347" s="7"/>
      <c r="U347" s="3"/>
    </row>
    <row r="348" spans="1:21">
      <c r="A348" s="2">
        <v>347</v>
      </c>
      <c r="B348" s="2">
        <v>0</v>
      </c>
      <c r="C348" s="2">
        <v>8000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7</v>
      </c>
      <c r="K348" s="2">
        <v>0</v>
      </c>
      <c r="L348" s="2">
        <v>1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6"/>
      <c r="T348" s="7"/>
      <c r="U348" s="3"/>
    </row>
    <row r="349" spans="1:21">
      <c r="A349" s="2">
        <v>348</v>
      </c>
      <c r="B349" s="2">
        <v>0</v>
      </c>
      <c r="C349" s="2">
        <v>19000</v>
      </c>
      <c r="D349" s="2">
        <v>1</v>
      </c>
      <c r="E349" s="2">
        <v>0</v>
      </c>
      <c r="F349" s="2">
        <v>0</v>
      </c>
      <c r="G349" s="2">
        <v>0</v>
      </c>
      <c r="H349" s="2">
        <v>0</v>
      </c>
      <c r="I349" s="2">
        <v>1</v>
      </c>
      <c r="J349" s="2">
        <v>7</v>
      </c>
      <c r="K349" s="2">
        <v>0</v>
      </c>
      <c r="L349" s="2">
        <v>0</v>
      </c>
      <c r="M349" s="2">
        <v>0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6"/>
      <c r="T349" s="7"/>
      <c r="U349" s="3"/>
    </row>
    <row r="350" spans="1:21">
      <c r="A350" s="2">
        <v>349</v>
      </c>
      <c r="B350" s="2">
        <v>0</v>
      </c>
      <c r="C350" s="2">
        <v>48000</v>
      </c>
      <c r="D350" s="2">
        <v>0</v>
      </c>
      <c r="E350" s="2">
        <v>1</v>
      </c>
      <c r="F350" s="2">
        <v>0</v>
      </c>
      <c r="G350" s="2">
        <v>0</v>
      </c>
      <c r="H350" s="2">
        <v>0</v>
      </c>
      <c r="I350" s="2">
        <v>0</v>
      </c>
      <c r="J350" s="2">
        <v>6</v>
      </c>
      <c r="K350" s="2">
        <v>1</v>
      </c>
      <c r="L350" s="2">
        <v>1</v>
      </c>
      <c r="M350" s="2">
        <v>1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  <c r="S350" s="6"/>
      <c r="T350" s="7"/>
      <c r="U350" s="3"/>
    </row>
    <row r="351" spans="1:21">
      <c r="A351" s="2">
        <v>350</v>
      </c>
      <c r="B351" s="2">
        <v>0</v>
      </c>
      <c r="C351" s="2">
        <v>39000</v>
      </c>
      <c r="D351" s="2">
        <v>0</v>
      </c>
      <c r="E351" s="2">
        <v>0</v>
      </c>
      <c r="F351" s="2">
        <v>1</v>
      </c>
      <c r="G351" s="2">
        <v>1</v>
      </c>
      <c r="H351" s="2">
        <v>0</v>
      </c>
      <c r="I351" s="2">
        <v>0</v>
      </c>
      <c r="J351" s="2">
        <v>15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1</v>
      </c>
      <c r="Q351" s="2">
        <v>1</v>
      </c>
      <c r="R351" s="2">
        <v>0</v>
      </c>
      <c r="S351" s="6"/>
      <c r="T351" s="7"/>
      <c r="U351" s="3"/>
    </row>
    <row r="352" spans="1:21">
      <c r="A352" s="2">
        <v>351</v>
      </c>
      <c r="B352" s="2">
        <v>0</v>
      </c>
      <c r="C352" s="2">
        <v>30000</v>
      </c>
      <c r="D352" s="2">
        <v>0</v>
      </c>
      <c r="E352" s="2">
        <v>1</v>
      </c>
      <c r="F352" s="2">
        <v>1</v>
      </c>
      <c r="G352" s="2">
        <v>0</v>
      </c>
      <c r="H352" s="2">
        <v>0</v>
      </c>
      <c r="I352" s="2">
        <v>0</v>
      </c>
      <c r="J352" s="2">
        <v>14</v>
      </c>
      <c r="K352" s="2">
        <v>1</v>
      </c>
      <c r="L352" s="2">
        <v>0</v>
      </c>
      <c r="M352" s="2">
        <v>0</v>
      </c>
      <c r="N352" s="2">
        <v>0</v>
      </c>
      <c r="O352" s="2">
        <v>1</v>
      </c>
      <c r="P352" s="2">
        <v>1</v>
      </c>
      <c r="Q352" s="2">
        <v>0</v>
      </c>
      <c r="R352" s="2">
        <v>1</v>
      </c>
      <c r="S352" s="6"/>
      <c r="T352" s="7"/>
      <c r="U352" s="3"/>
    </row>
    <row r="353" spans="1:21">
      <c r="A353" s="2">
        <v>352</v>
      </c>
      <c r="B353" s="2">
        <v>1</v>
      </c>
      <c r="C353" s="2">
        <v>66000</v>
      </c>
      <c r="D353" s="2">
        <v>0</v>
      </c>
      <c r="E353" s="2">
        <v>0</v>
      </c>
      <c r="F353" s="2">
        <v>1</v>
      </c>
      <c r="G353" s="2">
        <v>1</v>
      </c>
      <c r="H353" s="2">
        <v>0</v>
      </c>
      <c r="I353" s="2">
        <v>0</v>
      </c>
      <c r="J353" s="2">
        <v>8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1</v>
      </c>
      <c r="Q353" s="2">
        <v>0</v>
      </c>
      <c r="R353" s="2">
        <v>0</v>
      </c>
      <c r="S353" s="6"/>
      <c r="T353" s="7"/>
      <c r="U353" s="3"/>
    </row>
    <row r="354" spans="1:21">
      <c r="A354" s="2">
        <v>353</v>
      </c>
      <c r="B354" s="2">
        <v>1</v>
      </c>
      <c r="C354" s="2">
        <v>49000</v>
      </c>
      <c r="D354" s="2">
        <v>1</v>
      </c>
      <c r="E354" s="2">
        <v>1</v>
      </c>
      <c r="F354" s="2">
        <v>1</v>
      </c>
      <c r="G354" s="2">
        <v>0</v>
      </c>
      <c r="H354" s="2">
        <v>0</v>
      </c>
      <c r="I354" s="2">
        <v>0</v>
      </c>
      <c r="J354" s="2">
        <v>42</v>
      </c>
      <c r="K354" s="2">
        <v>0</v>
      </c>
      <c r="L354" s="2">
        <v>1</v>
      </c>
      <c r="M354" s="2">
        <v>1</v>
      </c>
      <c r="N354" s="2">
        <v>1</v>
      </c>
      <c r="O354" s="2">
        <v>1</v>
      </c>
      <c r="P354" s="2">
        <v>1</v>
      </c>
      <c r="Q354" s="2">
        <v>0</v>
      </c>
      <c r="R354" s="2">
        <v>0</v>
      </c>
      <c r="S354" s="6"/>
      <c r="T354" s="7"/>
      <c r="U354" s="3"/>
    </row>
    <row r="355" spans="1:21">
      <c r="A355" s="2">
        <v>354</v>
      </c>
      <c r="B355" s="2">
        <v>0</v>
      </c>
      <c r="C355" s="2">
        <v>22000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15</v>
      </c>
      <c r="K355" s="2">
        <v>0</v>
      </c>
      <c r="L355" s="2">
        <v>0</v>
      </c>
      <c r="M355" s="2">
        <v>0</v>
      </c>
      <c r="N355" s="2">
        <v>1</v>
      </c>
      <c r="O355" s="2">
        <v>1</v>
      </c>
      <c r="P355" s="2">
        <v>1</v>
      </c>
      <c r="Q355" s="2">
        <v>0</v>
      </c>
      <c r="R355" s="2">
        <v>0</v>
      </c>
      <c r="S355" s="6"/>
      <c r="T355" s="7"/>
      <c r="U355" s="3"/>
    </row>
    <row r="356" spans="1:21">
      <c r="A356" s="2">
        <v>355</v>
      </c>
      <c r="B356" s="2">
        <v>0</v>
      </c>
      <c r="C356" s="2">
        <v>49000</v>
      </c>
      <c r="D356" s="2">
        <v>1</v>
      </c>
      <c r="E356" s="2">
        <v>1</v>
      </c>
      <c r="F356" s="2">
        <v>0</v>
      </c>
      <c r="G356" s="2">
        <v>0</v>
      </c>
      <c r="H356" s="2">
        <v>0</v>
      </c>
      <c r="I356" s="2">
        <v>0</v>
      </c>
      <c r="J356" s="2">
        <v>43</v>
      </c>
      <c r="K356" s="2">
        <v>0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0</v>
      </c>
      <c r="R356" s="2">
        <v>0</v>
      </c>
      <c r="S356" s="6"/>
      <c r="T356" s="7"/>
      <c r="U356" s="3"/>
    </row>
    <row r="357" spans="1:21">
      <c r="A357" s="2">
        <v>356</v>
      </c>
      <c r="B357" s="2">
        <v>0</v>
      </c>
      <c r="C357" s="2">
        <v>2000</v>
      </c>
      <c r="D357" s="2">
        <v>0</v>
      </c>
      <c r="E357" s="2">
        <v>0</v>
      </c>
      <c r="F357" s="2">
        <v>1</v>
      </c>
      <c r="G357" s="2">
        <v>0</v>
      </c>
      <c r="H357" s="2">
        <v>0</v>
      </c>
      <c r="I357" s="2">
        <v>0</v>
      </c>
      <c r="J357" s="2">
        <v>3</v>
      </c>
      <c r="K357" s="2">
        <v>0</v>
      </c>
      <c r="L357" s="2">
        <v>0</v>
      </c>
      <c r="M357" s="2">
        <v>0</v>
      </c>
      <c r="N357" s="2">
        <v>0</v>
      </c>
      <c r="O357" s="2">
        <v>1</v>
      </c>
      <c r="P357" s="2">
        <v>1</v>
      </c>
      <c r="Q357" s="2">
        <v>0</v>
      </c>
      <c r="R357" s="2">
        <v>0</v>
      </c>
      <c r="S357" s="6"/>
      <c r="T357" s="7"/>
      <c r="U357" s="3"/>
    </row>
    <row r="358" spans="1:21">
      <c r="A358" s="2">
        <v>357</v>
      </c>
      <c r="B358" s="2">
        <v>1</v>
      </c>
      <c r="C358" s="2">
        <v>75000</v>
      </c>
      <c r="D358" s="2">
        <v>0</v>
      </c>
      <c r="E358" s="2">
        <v>1</v>
      </c>
      <c r="F358" s="2">
        <v>0</v>
      </c>
      <c r="G358" s="2">
        <v>1</v>
      </c>
      <c r="H358" s="2">
        <v>0</v>
      </c>
      <c r="I358" s="2">
        <v>0</v>
      </c>
      <c r="J358" s="2">
        <v>36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>
        <v>0</v>
      </c>
      <c r="R358" s="2">
        <v>0</v>
      </c>
      <c r="S358" s="6"/>
      <c r="T358" s="7"/>
      <c r="U358" s="3"/>
    </row>
    <row r="359" spans="1:21">
      <c r="A359" s="2">
        <v>358</v>
      </c>
      <c r="B359" s="2">
        <v>0</v>
      </c>
      <c r="C359" s="2">
        <v>10000</v>
      </c>
      <c r="D359" s="2">
        <v>1</v>
      </c>
      <c r="E359" s="2">
        <v>1</v>
      </c>
      <c r="F359" s="2">
        <v>0</v>
      </c>
      <c r="G359" s="2">
        <v>0</v>
      </c>
      <c r="H359" s="2">
        <v>0</v>
      </c>
      <c r="I359" s="2">
        <v>0</v>
      </c>
      <c r="J359" s="2">
        <v>3</v>
      </c>
      <c r="K359" s="2">
        <v>0</v>
      </c>
      <c r="L359" s="2">
        <v>1</v>
      </c>
      <c r="M359" s="2">
        <v>0</v>
      </c>
      <c r="N359" s="2">
        <v>0</v>
      </c>
      <c r="O359" s="2">
        <v>1</v>
      </c>
      <c r="P359" s="2">
        <v>1</v>
      </c>
      <c r="Q359" s="2">
        <v>0</v>
      </c>
      <c r="R359" s="2">
        <v>0</v>
      </c>
      <c r="S359" s="6"/>
      <c r="T359" s="7"/>
      <c r="U359" s="3"/>
    </row>
    <row r="360" spans="1:21">
      <c r="A360" s="2">
        <v>359</v>
      </c>
      <c r="B360" s="2">
        <v>0</v>
      </c>
      <c r="C360" s="2">
        <v>24000</v>
      </c>
      <c r="D360" s="2">
        <v>0</v>
      </c>
      <c r="E360" s="2">
        <v>0</v>
      </c>
      <c r="F360" s="2">
        <v>1</v>
      </c>
      <c r="G360" s="2">
        <v>0</v>
      </c>
      <c r="H360" s="2">
        <v>0</v>
      </c>
      <c r="I360" s="2">
        <v>0</v>
      </c>
      <c r="J360" s="2">
        <v>4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1</v>
      </c>
      <c r="Q360" s="2">
        <v>0</v>
      </c>
      <c r="R360" s="2">
        <v>1</v>
      </c>
      <c r="S360" s="6"/>
      <c r="T360" s="7"/>
      <c r="U360" s="3"/>
    </row>
    <row r="361" spans="1:21">
      <c r="A361" s="2">
        <v>360</v>
      </c>
      <c r="B361" s="2">
        <v>0</v>
      </c>
      <c r="C361" s="2">
        <v>23000</v>
      </c>
      <c r="D361" s="2">
        <v>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23</v>
      </c>
      <c r="K361" s="2">
        <v>0</v>
      </c>
      <c r="L361" s="2">
        <v>1</v>
      </c>
      <c r="M361" s="2">
        <v>1</v>
      </c>
      <c r="N361" s="2">
        <v>1</v>
      </c>
      <c r="O361" s="2">
        <v>0</v>
      </c>
      <c r="P361" s="2">
        <v>1</v>
      </c>
      <c r="Q361" s="2">
        <v>0</v>
      </c>
      <c r="R361" s="2">
        <v>0</v>
      </c>
      <c r="S361" s="6"/>
      <c r="T361" s="7"/>
      <c r="U361" s="3"/>
    </row>
    <row r="362" spans="1:21">
      <c r="A362" s="2">
        <v>361</v>
      </c>
      <c r="B362" s="2">
        <v>1</v>
      </c>
      <c r="C362" s="2">
        <v>48000</v>
      </c>
      <c r="D362" s="2">
        <v>1</v>
      </c>
      <c r="E362" s="2">
        <v>1</v>
      </c>
      <c r="F362" s="2">
        <v>0</v>
      </c>
      <c r="G362" s="2">
        <v>0</v>
      </c>
      <c r="H362" s="2">
        <v>0</v>
      </c>
      <c r="I362" s="2">
        <v>0</v>
      </c>
      <c r="J362" s="2">
        <v>21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>
        <v>0</v>
      </c>
      <c r="R362" s="2">
        <v>0</v>
      </c>
      <c r="S362" s="6"/>
      <c r="T362" s="7"/>
      <c r="U362" s="3"/>
    </row>
    <row r="363" spans="1:21">
      <c r="A363" s="2">
        <v>362</v>
      </c>
      <c r="B363" s="2">
        <v>0</v>
      </c>
      <c r="C363" s="2">
        <v>3000</v>
      </c>
      <c r="D363" s="2">
        <v>1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10</v>
      </c>
      <c r="K363" s="2">
        <v>0</v>
      </c>
      <c r="L363" s="2">
        <v>1</v>
      </c>
      <c r="M363" s="2">
        <v>0</v>
      </c>
      <c r="N363" s="2">
        <v>1</v>
      </c>
      <c r="O363" s="2">
        <v>1</v>
      </c>
      <c r="P363" s="2">
        <v>1</v>
      </c>
      <c r="Q363" s="2">
        <v>0</v>
      </c>
      <c r="R363" s="2">
        <v>0</v>
      </c>
      <c r="S363" s="6"/>
      <c r="T363" s="7"/>
      <c r="U363" s="3"/>
    </row>
    <row r="364" spans="1:21">
      <c r="A364" s="2">
        <v>363</v>
      </c>
      <c r="B364" s="2">
        <v>0</v>
      </c>
      <c r="C364" s="2">
        <v>4000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1</v>
      </c>
      <c r="O364" s="2">
        <v>1</v>
      </c>
      <c r="P364" s="2">
        <v>1</v>
      </c>
      <c r="Q364" s="2">
        <v>0</v>
      </c>
      <c r="R364" s="2">
        <v>0</v>
      </c>
      <c r="S364" s="6"/>
      <c r="T364" s="7"/>
      <c r="U364" s="3"/>
    </row>
    <row r="365" spans="1:21">
      <c r="A365" s="2">
        <v>364</v>
      </c>
      <c r="B365" s="2">
        <v>0</v>
      </c>
      <c r="C365" s="2">
        <v>2000</v>
      </c>
      <c r="D365" s="2">
        <v>1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7</v>
      </c>
      <c r="K365" s="2">
        <v>0</v>
      </c>
      <c r="L365" s="2">
        <v>0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 s="6"/>
      <c r="T365" s="7"/>
      <c r="U365" s="3"/>
    </row>
    <row r="366" spans="1:21">
      <c r="A366" s="2">
        <v>365</v>
      </c>
      <c r="B366" s="2">
        <v>0</v>
      </c>
      <c r="C366" s="2">
        <v>9000</v>
      </c>
      <c r="D366" s="2">
        <v>1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14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1</v>
      </c>
      <c r="Q366" s="2">
        <v>0</v>
      </c>
      <c r="R366" s="2">
        <v>0</v>
      </c>
      <c r="S366" s="6"/>
      <c r="T366" s="7"/>
      <c r="U366" s="3"/>
    </row>
    <row r="367" spans="1:21">
      <c r="A367" s="2">
        <v>366</v>
      </c>
      <c r="B367" s="2">
        <v>0</v>
      </c>
      <c r="C367" s="2">
        <v>37000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1</v>
      </c>
      <c r="J367" s="2">
        <v>26</v>
      </c>
      <c r="K367" s="2">
        <v>0</v>
      </c>
      <c r="L367" s="2">
        <v>1</v>
      </c>
      <c r="M367" s="2">
        <v>0</v>
      </c>
      <c r="N367" s="2">
        <v>1</v>
      </c>
      <c r="O367" s="2">
        <v>1</v>
      </c>
      <c r="P367" s="2">
        <v>1</v>
      </c>
      <c r="Q367" s="2">
        <v>0</v>
      </c>
      <c r="R367" s="2">
        <v>1</v>
      </c>
      <c r="S367" s="6"/>
      <c r="T367" s="7"/>
      <c r="U367" s="3"/>
    </row>
    <row r="368" spans="1:21">
      <c r="A368" s="2">
        <v>367</v>
      </c>
      <c r="B368" s="2">
        <v>0</v>
      </c>
      <c r="C368" s="2">
        <v>19000</v>
      </c>
      <c r="D368" s="2">
        <v>0</v>
      </c>
      <c r="E368" s="2">
        <v>0</v>
      </c>
      <c r="F368" s="2">
        <v>0</v>
      </c>
      <c r="G368" s="2">
        <v>1</v>
      </c>
      <c r="H368" s="2">
        <v>0</v>
      </c>
      <c r="I368" s="2">
        <v>0</v>
      </c>
      <c r="J368" s="2">
        <v>15</v>
      </c>
      <c r="K368" s="2">
        <v>0</v>
      </c>
      <c r="L368" s="2">
        <v>0</v>
      </c>
      <c r="M368" s="2">
        <v>0</v>
      </c>
      <c r="N368" s="2">
        <v>1</v>
      </c>
      <c r="O368" s="2">
        <v>0</v>
      </c>
      <c r="P368" s="2">
        <v>1</v>
      </c>
      <c r="Q368" s="2">
        <v>0</v>
      </c>
      <c r="R368" s="2">
        <v>0</v>
      </c>
      <c r="S368" s="6"/>
      <c r="T368" s="7"/>
      <c r="U368" s="3"/>
    </row>
    <row r="369" spans="1:21">
      <c r="A369" s="2">
        <v>368</v>
      </c>
      <c r="B369" s="2">
        <v>0</v>
      </c>
      <c r="C369" s="2">
        <v>1000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6</v>
      </c>
      <c r="K369" s="2">
        <v>0</v>
      </c>
      <c r="L369" s="2">
        <v>1</v>
      </c>
      <c r="M369" s="2">
        <v>0</v>
      </c>
      <c r="N369" s="2">
        <v>1</v>
      </c>
      <c r="O369" s="2">
        <v>0</v>
      </c>
      <c r="P369" s="2">
        <v>1</v>
      </c>
      <c r="Q369" s="2">
        <v>0</v>
      </c>
      <c r="R369" s="2">
        <v>0</v>
      </c>
      <c r="S369" s="6"/>
      <c r="T369" s="7"/>
      <c r="U369" s="3"/>
    </row>
    <row r="370" spans="1:21">
      <c r="A370" s="2">
        <v>369</v>
      </c>
      <c r="B370" s="2">
        <v>0</v>
      </c>
      <c r="C370" s="2">
        <v>36000</v>
      </c>
      <c r="D370" s="2">
        <v>1</v>
      </c>
      <c r="E370" s="2">
        <v>1</v>
      </c>
      <c r="F370" s="2">
        <v>0</v>
      </c>
      <c r="G370" s="2">
        <v>0</v>
      </c>
      <c r="H370" s="2">
        <v>0</v>
      </c>
      <c r="I370" s="2">
        <v>0</v>
      </c>
      <c r="J370" s="2">
        <v>23</v>
      </c>
      <c r="K370" s="2">
        <v>1</v>
      </c>
      <c r="L370" s="2">
        <v>0</v>
      </c>
      <c r="M370" s="2">
        <v>1</v>
      </c>
      <c r="N370" s="2">
        <v>0</v>
      </c>
      <c r="O370" s="2">
        <v>0</v>
      </c>
      <c r="P370" s="2">
        <v>1</v>
      </c>
      <c r="Q370" s="2">
        <v>0</v>
      </c>
      <c r="R370" s="2">
        <v>1</v>
      </c>
      <c r="S370" s="6"/>
      <c r="T370" s="7"/>
      <c r="U370" s="3"/>
    </row>
    <row r="371" spans="1:21">
      <c r="A371" s="2">
        <v>370</v>
      </c>
      <c r="B371" s="2">
        <v>0</v>
      </c>
      <c r="C371" s="2">
        <v>54000</v>
      </c>
      <c r="D371" s="2">
        <v>0</v>
      </c>
      <c r="E371" s="2">
        <v>1</v>
      </c>
      <c r="F371" s="2">
        <v>0</v>
      </c>
      <c r="G371" s="2">
        <v>0</v>
      </c>
      <c r="H371" s="2">
        <v>0</v>
      </c>
      <c r="I371" s="2">
        <v>0</v>
      </c>
      <c r="J371" s="2">
        <v>26</v>
      </c>
      <c r="K371" s="2">
        <v>1</v>
      </c>
      <c r="L371" s="2">
        <v>0</v>
      </c>
      <c r="M371" s="2">
        <v>0</v>
      </c>
      <c r="N371" s="2">
        <v>1</v>
      </c>
      <c r="O371" s="2">
        <v>1</v>
      </c>
      <c r="P371" s="2">
        <v>1</v>
      </c>
      <c r="Q371" s="2">
        <v>0</v>
      </c>
      <c r="R371" s="2">
        <v>0</v>
      </c>
      <c r="S371" s="6"/>
      <c r="T371" s="7"/>
      <c r="U371" s="3"/>
    </row>
    <row r="372" spans="1:21">
      <c r="A372" s="2">
        <v>371</v>
      </c>
      <c r="B372" s="2">
        <v>0</v>
      </c>
      <c r="C372" s="2">
        <v>28000</v>
      </c>
      <c r="D372" s="2">
        <v>1</v>
      </c>
      <c r="E372" s="2">
        <v>0</v>
      </c>
      <c r="F372" s="2">
        <v>0</v>
      </c>
      <c r="G372" s="2">
        <v>1</v>
      </c>
      <c r="H372" s="2">
        <v>0</v>
      </c>
      <c r="I372" s="2">
        <v>0</v>
      </c>
      <c r="J372" s="2">
        <v>1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1</v>
      </c>
      <c r="Q372" s="2">
        <v>0</v>
      </c>
      <c r="R372" s="2">
        <v>0</v>
      </c>
      <c r="S372" s="6"/>
      <c r="T372" s="7"/>
      <c r="U372" s="3"/>
    </row>
    <row r="373" spans="1:21">
      <c r="A373" s="2">
        <v>372</v>
      </c>
      <c r="B373" s="2">
        <v>0</v>
      </c>
      <c r="C373" s="2">
        <v>47000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24</v>
      </c>
      <c r="K373" s="2">
        <v>0</v>
      </c>
      <c r="L373" s="2">
        <v>1</v>
      </c>
      <c r="M373" s="2">
        <v>0</v>
      </c>
      <c r="N373" s="2">
        <v>1</v>
      </c>
      <c r="O373" s="2">
        <v>0</v>
      </c>
      <c r="P373" s="2">
        <v>1</v>
      </c>
      <c r="Q373" s="2">
        <v>0</v>
      </c>
      <c r="R373" s="2">
        <v>0</v>
      </c>
      <c r="S373" s="6"/>
      <c r="T373" s="7"/>
      <c r="U373" s="3"/>
    </row>
    <row r="374" spans="1:21">
      <c r="A374" s="2">
        <v>373</v>
      </c>
      <c r="B374" s="2">
        <v>0</v>
      </c>
      <c r="C374" s="2">
        <v>42000</v>
      </c>
      <c r="D374" s="2">
        <v>1</v>
      </c>
      <c r="E374" s="2">
        <v>1</v>
      </c>
      <c r="F374" s="2">
        <v>0</v>
      </c>
      <c r="G374" s="2">
        <v>0</v>
      </c>
      <c r="H374" s="2">
        <v>0</v>
      </c>
      <c r="I374" s="2">
        <v>0</v>
      </c>
      <c r="J374" s="2">
        <v>58</v>
      </c>
      <c r="K374" s="2">
        <v>0</v>
      </c>
      <c r="L374" s="2">
        <v>0</v>
      </c>
      <c r="M374" s="2">
        <v>1</v>
      </c>
      <c r="N374" s="2">
        <v>0</v>
      </c>
      <c r="O374" s="2">
        <v>1</v>
      </c>
      <c r="P374" s="2">
        <v>1</v>
      </c>
      <c r="Q374" s="2">
        <v>0</v>
      </c>
      <c r="R374" s="2">
        <v>0</v>
      </c>
      <c r="S374" s="6"/>
      <c r="T374" s="7"/>
      <c r="U374" s="3"/>
    </row>
    <row r="375" spans="1:21">
      <c r="A375" s="2">
        <v>374</v>
      </c>
      <c r="B375" s="2">
        <v>0</v>
      </c>
      <c r="C375" s="2">
        <v>8000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</v>
      </c>
      <c r="M375" s="2">
        <v>0</v>
      </c>
      <c r="N375" s="2">
        <v>1</v>
      </c>
      <c r="O375" s="2">
        <v>1</v>
      </c>
      <c r="P375" s="2">
        <v>1</v>
      </c>
      <c r="Q375" s="2">
        <v>0</v>
      </c>
      <c r="R375" s="2">
        <v>0</v>
      </c>
      <c r="S375" s="6"/>
      <c r="T375" s="7"/>
      <c r="U375" s="3"/>
    </row>
    <row r="376" spans="1:21">
      <c r="A376" s="2">
        <v>375</v>
      </c>
      <c r="B376" s="2">
        <v>0</v>
      </c>
      <c r="C376" s="2">
        <v>19000</v>
      </c>
      <c r="D376" s="2">
        <v>0</v>
      </c>
      <c r="E376" s="2">
        <v>0</v>
      </c>
      <c r="F376" s="2">
        <v>0</v>
      </c>
      <c r="G376" s="2">
        <v>1</v>
      </c>
      <c r="H376" s="2">
        <v>0</v>
      </c>
      <c r="I376" s="2">
        <v>0</v>
      </c>
      <c r="J376" s="2">
        <v>8</v>
      </c>
      <c r="K376" s="2">
        <v>0</v>
      </c>
      <c r="L376" s="2">
        <v>0</v>
      </c>
      <c r="M376" s="2">
        <v>1</v>
      </c>
      <c r="N376" s="2">
        <v>1</v>
      </c>
      <c r="O376" s="2">
        <v>1</v>
      </c>
      <c r="P376" s="2">
        <v>1</v>
      </c>
      <c r="Q376" s="2">
        <v>0</v>
      </c>
      <c r="R376" s="2">
        <v>1</v>
      </c>
      <c r="S376" s="6"/>
      <c r="T376" s="7"/>
      <c r="U376" s="3"/>
    </row>
    <row r="377" spans="1:21">
      <c r="A377" s="2">
        <v>376</v>
      </c>
      <c r="B377" s="2">
        <v>0</v>
      </c>
      <c r="C377" s="2">
        <v>50000</v>
      </c>
      <c r="D377" s="2">
        <v>0</v>
      </c>
      <c r="E377" s="2">
        <v>0</v>
      </c>
      <c r="F377" s="2">
        <v>1</v>
      </c>
      <c r="G377" s="2">
        <v>1</v>
      </c>
      <c r="H377" s="2">
        <v>0</v>
      </c>
      <c r="I377" s="2">
        <v>0</v>
      </c>
      <c r="J377" s="2">
        <v>5</v>
      </c>
      <c r="K377" s="2">
        <v>0</v>
      </c>
      <c r="L377" s="2">
        <v>0</v>
      </c>
      <c r="M377" s="2">
        <v>0</v>
      </c>
      <c r="N377" s="2">
        <v>1</v>
      </c>
      <c r="O377" s="2">
        <v>1</v>
      </c>
      <c r="P377" s="2">
        <v>1</v>
      </c>
      <c r="Q377" s="2">
        <v>0</v>
      </c>
      <c r="R377" s="2">
        <v>0</v>
      </c>
      <c r="S377" s="6"/>
      <c r="T377" s="7"/>
      <c r="U377" s="3"/>
    </row>
    <row r="378" spans="1:21">
      <c r="A378" s="2">
        <v>377</v>
      </c>
      <c r="B378" s="2">
        <v>0</v>
      </c>
      <c r="C378" s="2">
        <v>10000</v>
      </c>
      <c r="D378" s="2">
        <v>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8</v>
      </c>
      <c r="K378" s="2">
        <v>0</v>
      </c>
      <c r="L378" s="2">
        <v>1</v>
      </c>
      <c r="M378" s="2">
        <v>1</v>
      </c>
      <c r="N378" s="2">
        <v>1</v>
      </c>
      <c r="O378" s="2">
        <v>0</v>
      </c>
      <c r="P378" s="2">
        <v>1</v>
      </c>
      <c r="Q378" s="2">
        <v>0</v>
      </c>
      <c r="R378" s="2">
        <v>0</v>
      </c>
      <c r="S378" s="6"/>
      <c r="T378" s="7"/>
      <c r="U378" s="3"/>
    </row>
    <row r="379" spans="1:21">
      <c r="A379" s="2">
        <v>378</v>
      </c>
      <c r="B379" s="2">
        <v>1</v>
      </c>
      <c r="C379" s="2">
        <v>70000</v>
      </c>
      <c r="D379" s="2">
        <v>1</v>
      </c>
      <c r="E379" s="2">
        <v>1</v>
      </c>
      <c r="F379" s="2">
        <v>0</v>
      </c>
      <c r="G379" s="2">
        <v>0</v>
      </c>
      <c r="H379" s="2">
        <v>0</v>
      </c>
      <c r="I379" s="2">
        <v>0</v>
      </c>
      <c r="J379" s="2">
        <v>26</v>
      </c>
      <c r="K379" s="2">
        <v>1</v>
      </c>
      <c r="L379" s="2">
        <v>0</v>
      </c>
      <c r="M379" s="2">
        <v>1</v>
      </c>
      <c r="N379" s="2">
        <v>1</v>
      </c>
      <c r="O379" s="2">
        <v>1</v>
      </c>
      <c r="P379" s="2">
        <v>1</v>
      </c>
      <c r="Q379" s="2">
        <v>0</v>
      </c>
      <c r="R379" s="2">
        <v>0</v>
      </c>
      <c r="S379" s="6"/>
      <c r="T379" s="7"/>
      <c r="U379" s="3"/>
    </row>
    <row r="380" spans="1:21">
      <c r="A380" s="2">
        <v>379</v>
      </c>
      <c r="B380" s="2">
        <v>0</v>
      </c>
      <c r="C380" s="2">
        <v>27000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19</v>
      </c>
      <c r="K380" s="2">
        <v>0</v>
      </c>
      <c r="L380" s="2">
        <v>0</v>
      </c>
      <c r="M380" s="2">
        <v>0</v>
      </c>
      <c r="N380" s="2">
        <v>1</v>
      </c>
      <c r="O380" s="2">
        <v>1</v>
      </c>
      <c r="P380" s="2">
        <v>1</v>
      </c>
      <c r="Q380" s="2">
        <v>0</v>
      </c>
      <c r="R380" s="2">
        <v>0</v>
      </c>
      <c r="S380" s="6"/>
      <c r="T380" s="7"/>
      <c r="U380" s="3"/>
    </row>
    <row r="381" spans="1:21">
      <c r="A381" s="2">
        <v>380</v>
      </c>
      <c r="B381" s="2">
        <v>0</v>
      </c>
      <c r="C381" s="2">
        <v>30000</v>
      </c>
      <c r="D381" s="2">
        <v>0</v>
      </c>
      <c r="E381" s="2">
        <v>0</v>
      </c>
      <c r="F381" s="2">
        <v>1</v>
      </c>
      <c r="G381" s="2">
        <v>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1</v>
      </c>
      <c r="P381" s="2">
        <v>1</v>
      </c>
      <c r="Q381" s="2">
        <v>0</v>
      </c>
      <c r="R381" s="2">
        <v>0</v>
      </c>
      <c r="S381" s="6"/>
      <c r="T381" s="7"/>
      <c r="U381" s="3"/>
    </row>
    <row r="382" spans="1:21">
      <c r="A382" s="2">
        <v>381</v>
      </c>
      <c r="B382" s="2">
        <v>0</v>
      </c>
      <c r="C382" s="2">
        <v>18000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24</v>
      </c>
      <c r="K382" s="2">
        <v>0</v>
      </c>
      <c r="L382" s="2">
        <v>0</v>
      </c>
      <c r="M382" s="2">
        <v>0</v>
      </c>
      <c r="N382" s="2">
        <v>1</v>
      </c>
      <c r="O382" s="2">
        <v>1</v>
      </c>
      <c r="P382" s="2">
        <v>1</v>
      </c>
      <c r="Q382" s="2">
        <v>0</v>
      </c>
      <c r="R382" s="2">
        <v>0</v>
      </c>
      <c r="S382" s="6"/>
      <c r="T382" s="7"/>
      <c r="U382" s="3"/>
    </row>
    <row r="383" spans="1:21">
      <c r="A383" s="2">
        <v>382</v>
      </c>
      <c r="B383" s="2">
        <v>1</v>
      </c>
      <c r="C383" s="2">
        <v>75000</v>
      </c>
      <c r="D383" s="2">
        <v>1</v>
      </c>
      <c r="E383" s="2">
        <v>1</v>
      </c>
      <c r="F383" s="2">
        <v>0</v>
      </c>
      <c r="G383" s="2">
        <v>0</v>
      </c>
      <c r="H383" s="2">
        <v>0</v>
      </c>
      <c r="I383" s="2">
        <v>0</v>
      </c>
      <c r="J383" s="2">
        <v>23</v>
      </c>
      <c r="K383" s="2">
        <v>0</v>
      </c>
      <c r="L383" s="2">
        <v>0</v>
      </c>
      <c r="M383" s="2">
        <v>1</v>
      </c>
      <c r="N383" s="2">
        <v>1</v>
      </c>
      <c r="O383" s="2">
        <v>1</v>
      </c>
      <c r="P383" s="2">
        <v>1</v>
      </c>
      <c r="Q383" s="2">
        <v>0</v>
      </c>
      <c r="R383" s="2">
        <v>0</v>
      </c>
      <c r="S383" s="6"/>
      <c r="T383" s="7"/>
      <c r="U383" s="3"/>
    </row>
    <row r="384" spans="1:21">
      <c r="A384" s="2">
        <v>383</v>
      </c>
      <c r="B384" s="2">
        <v>0</v>
      </c>
      <c r="C384" s="2">
        <v>55000</v>
      </c>
      <c r="D384" s="2">
        <v>0</v>
      </c>
      <c r="E384" s="2">
        <v>1</v>
      </c>
      <c r="F384" s="2">
        <v>0</v>
      </c>
      <c r="G384" s="2">
        <v>1</v>
      </c>
      <c r="H384" s="2">
        <v>0</v>
      </c>
      <c r="I384" s="2">
        <v>0</v>
      </c>
      <c r="J384" s="2">
        <v>11</v>
      </c>
      <c r="K384" s="2">
        <v>1</v>
      </c>
      <c r="L384" s="2">
        <v>0</v>
      </c>
      <c r="M384" s="2">
        <v>1</v>
      </c>
      <c r="N384" s="2">
        <v>1</v>
      </c>
      <c r="O384" s="2">
        <v>1</v>
      </c>
      <c r="P384" s="2">
        <v>1</v>
      </c>
      <c r="Q384" s="2">
        <v>0</v>
      </c>
      <c r="R384" s="2">
        <v>0</v>
      </c>
      <c r="S384" s="6"/>
      <c r="T384" s="7"/>
      <c r="U384" s="3"/>
    </row>
    <row r="385" spans="1:21">
      <c r="A385" s="2">
        <v>384</v>
      </c>
      <c r="B385" s="2">
        <v>0</v>
      </c>
      <c r="C385" s="2">
        <v>10000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14</v>
      </c>
      <c r="K385" s="2">
        <v>0</v>
      </c>
      <c r="L385" s="2">
        <v>1</v>
      </c>
      <c r="M385" s="2">
        <v>0</v>
      </c>
      <c r="N385" s="2">
        <v>1</v>
      </c>
      <c r="O385" s="2">
        <v>0</v>
      </c>
      <c r="P385" s="2">
        <v>1</v>
      </c>
      <c r="Q385" s="2">
        <v>0</v>
      </c>
      <c r="R385" s="2">
        <v>0</v>
      </c>
      <c r="S385" s="6"/>
      <c r="T385" s="7"/>
      <c r="U385" s="3"/>
    </row>
    <row r="386" spans="1:21">
      <c r="A386" s="2">
        <v>385</v>
      </c>
      <c r="B386" s="2">
        <v>0</v>
      </c>
      <c r="C386" s="2">
        <v>30000</v>
      </c>
      <c r="D386" s="2">
        <v>0</v>
      </c>
      <c r="E386" s="2">
        <v>1</v>
      </c>
      <c r="F386" s="2">
        <v>1</v>
      </c>
      <c r="G386" s="2">
        <v>0</v>
      </c>
      <c r="H386" s="2">
        <v>0</v>
      </c>
      <c r="I386" s="2">
        <v>0</v>
      </c>
      <c r="J386" s="2">
        <v>38</v>
      </c>
      <c r="K386" s="2">
        <v>1</v>
      </c>
      <c r="L386" s="2">
        <v>0</v>
      </c>
      <c r="M386" s="2">
        <v>1</v>
      </c>
      <c r="N386" s="2">
        <v>1</v>
      </c>
      <c r="O386" s="2">
        <v>1</v>
      </c>
      <c r="P386" s="2">
        <v>1</v>
      </c>
      <c r="Q386" s="2">
        <v>0</v>
      </c>
      <c r="R386" s="2">
        <v>0</v>
      </c>
      <c r="S386" s="6"/>
      <c r="T386" s="7"/>
      <c r="U386" s="3"/>
    </row>
    <row r="387" spans="1:21">
      <c r="A387" s="2">
        <v>386</v>
      </c>
      <c r="B387" s="2">
        <v>0</v>
      </c>
      <c r="C387" s="2">
        <v>20000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30</v>
      </c>
      <c r="K387" s="2">
        <v>0</v>
      </c>
      <c r="L387" s="2">
        <v>0</v>
      </c>
      <c r="M387" s="2">
        <v>0</v>
      </c>
      <c r="N387" s="2">
        <v>1</v>
      </c>
      <c r="O387" s="2">
        <v>1</v>
      </c>
      <c r="P387" s="2">
        <v>1</v>
      </c>
      <c r="Q387" s="2">
        <v>0</v>
      </c>
      <c r="R387" s="2">
        <v>1</v>
      </c>
      <c r="S387" s="6"/>
      <c r="T387" s="7"/>
      <c r="U387" s="3"/>
    </row>
    <row r="388" spans="1:21">
      <c r="A388" s="2">
        <v>387</v>
      </c>
      <c r="B388" s="2">
        <v>0</v>
      </c>
      <c r="C388" s="2">
        <v>26000</v>
      </c>
      <c r="D388" s="2">
        <v>0</v>
      </c>
      <c r="E388" s="2">
        <v>0</v>
      </c>
      <c r="F388" s="2">
        <v>1</v>
      </c>
      <c r="G388" s="2">
        <v>1</v>
      </c>
      <c r="H388" s="2">
        <v>0</v>
      </c>
      <c r="I388" s="2">
        <v>0</v>
      </c>
      <c r="J388" s="2">
        <v>28</v>
      </c>
      <c r="K388" s="2">
        <v>0</v>
      </c>
      <c r="L388" s="2">
        <v>0</v>
      </c>
      <c r="M388" s="2">
        <v>1</v>
      </c>
      <c r="N388" s="2">
        <v>0</v>
      </c>
      <c r="O388" s="2">
        <v>1</v>
      </c>
      <c r="P388" s="2">
        <v>1</v>
      </c>
      <c r="Q388" s="2">
        <v>0</v>
      </c>
      <c r="R388" s="2">
        <v>0</v>
      </c>
      <c r="S388" s="6"/>
      <c r="T388" s="7"/>
      <c r="U388" s="3"/>
    </row>
    <row r="389" spans="1:21">
      <c r="A389" s="2">
        <v>388</v>
      </c>
      <c r="B389" s="2">
        <v>0</v>
      </c>
      <c r="C389" s="2">
        <v>7000</v>
      </c>
      <c r="D389" s="2">
        <v>1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16</v>
      </c>
      <c r="K389" s="2">
        <v>0</v>
      </c>
      <c r="L389" s="2">
        <v>0</v>
      </c>
      <c r="M389" s="2">
        <v>0</v>
      </c>
      <c r="N389" s="2">
        <v>1</v>
      </c>
      <c r="O389" s="2">
        <v>1</v>
      </c>
      <c r="P389" s="2">
        <v>1</v>
      </c>
      <c r="Q389" s="2">
        <v>0</v>
      </c>
      <c r="R389" s="2">
        <v>0</v>
      </c>
      <c r="S389" s="6"/>
      <c r="T389" s="7"/>
      <c r="U389" s="3"/>
    </row>
    <row r="390" spans="1:21">
      <c r="A390" s="2">
        <v>389</v>
      </c>
      <c r="B390" s="2">
        <v>1</v>
      </c>
      <c r="C390" s="2">
        <v>75000</v>
      </c>
      <c r="D390" s="2">
        <v>1</v>
      </c>
      <c r="E390" s="2">
        <v>0</v>
      </c>
      <c r="F390" s="2">
        <v>1</v>
      </c>
      <c r="G390" s="2">
        <v>1</v>
      </c>
      <c r="H390" s="2">
        <v>0</v>
      </c>
      <c r="I390" s="2">
        <v>0</v>
      </c>
      <c r="J390" s="2">
        <v>3</v>
      </c>
      <c r="K390" s="2">
        <v>0</v>
      </c>
      <c r="L390" s="2">
        <v>1</v>
      </c>
      <c r="M390" s="2">
        <v>1</v>
      </c>
      <c r="N390" s="2">
        <v>1</v>
      </c>
      <c r="O390" s="2">
        <v>1</v>
      </c>
      <c r="P390" s="2">
        <v>1</v>
      </c>
      <c r="Q390" s="2">
        <v>0</v>
      </c>
      <c r="R390" s="2">
        <v>0</v>
      </c>
      <c r="S390" s="6"/>
      <c r="T390" s="7"/>
      <c r="U390" s="3"/>
    </row>
    <row r="391" spans="1:21">
      <c r="A391" s="2">
        <v>390</v>
      </c>
      <c r="B391" s="2">
        <v>1</v>
      </c>
      <c r="C391" s="2">
        <v>60000</v>
      </c>
      <c r="D391" s="2">
        <v>0</v>
      </c>
      <c r="E391" s="2">
        <v>1</v>
      </c>
      <c r="F391" s="2">
        <v>0</v>
      </c>
      <c r="G391" s="2">
        <v>1</v>
      </c>
      <c r="H391" s="2">
        <v>0</v>
      </c>
      <c r="I391" s="2">
        <v>0</v>
      </c>
      <c r="J391" s="2">
        <v>15</v>
      </c>
      <c r="K391" s="2">
        <v>0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0</v>
      </c>
      <c r="R391" s="2">
        <v>0</v>
      </c>
      <c r="S391" s="6"/>
      <c r="T391" s="7"/>
      <c r="U391" s="3"/>
    </row>
    <row r="392" spans="1:21">
      <c r="A392" s="2">
        <v>391</v>
      </c>
      <c r="B392" s="2">
        <v>0</v>
      </c>
      <c r="C392" s="2">
        <v>12000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21</v>
      </c>
      <c r="K392" s="2">
        <v>0</v>
      </c>
      <c r="L392" s="2">
        <v>1</v>
      </c>
      <c r="M392" s="2">
        <v>0</v>
      </c>
      <c r="N392" s="2">
        <v>1</v>
      </c>
      <c r="O392" s="2">
        <v>0</v>
      </c>
      <c r="P392" s="2">
        <v>1</v>
      </c>
      <c r="Q392" s="2">
        <v>0</v>
      </c>
      <c r="R392" s="2">
        <v>0</v>
      </c>
      <c r="S392" s="6"/>
      <c r="T392" s="7"/>
      <c r="U392" s="3"/>
    </row>
    <row r="393" spans="1:21">
      <c r="A393" s="2">
        <v>392</v>
      </c>
      <c r="B393" s="2">
        <v>0</v>
      </c>
      <c r="C393" s="2">
        <v>63000</v>
      </c>
      <c r="D393" s="2">
        <v>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24</v>
      </c>
      <c r="K393" s="2">
        <v>0</v>
      </c>
      <c r="L393" s="2">
        <v>1</v>
      </c>
      <c r="M393" s="2">
        <v>0</v>
      </c>
      <c r="N393" s="2">
        <v>1</v>
      </c>
      <c r="O393" s="2">
        <v>1</v>
      </c>
      <c r="P393" s="2">
        <v>0</v>
      </c>
      <c r="Q393" s="2">
        <v>0</v>
      </c>
      <c r="R393" s="2">
        <v>0</v>
      </c>
      <c r="S393" s="6"/>
      <c r="T393" s="7"/>
      <c r="U393" s="3"/>
    </row>
    <row r="394" spans="1:21">
      <c r="A394" s="2">
        <v>393</v>
      </c>
      <c r="B394" s="2">
        <v>0</v>
      </c>
      <c r="C394" s="2">
        <v>49000</v>
      </c>
      <c r="D394" s="2">
        <v>1</v>
      </c>
      <c r="E394" s="2">
        <v>1</v>
      </c>
      <c r="F394" s="2">
        <v>0</v>
      </c>
      <c r="G394" s="2">
        <v>1</v>
      </c>
      <c r="H394" s="2">
        <v>0</v>
      </c>
      <c r="I394" s="2">
        <v>0</v>
      </c>
      <c r="J394" s="2">
        <v>29</v>
      </c>
      <c r="K394" s="2">
        <v>1</v>
      </c>
      <c r="L394" s="2">
        <v>0</v>
      </c>
      <c r="M394" s="2">
        <v>0</v>
      </c>
      <c r="N394" s="2">
        <v>0</v>
      </c>
      <c r="O394" s="2">
        <v>0</v>
      </c>
      <c r="P394" s="2">
        <v>1</v>
      </c>
      <c r="Q394" s="2">
        <v>1</v>
      </c>
      <c r="R394" s="2">
        <v>0</v>
      </c>
      <c r="S394" s="6"/>
      <c r="T394" s="7"/>
      <c r="U394" s="3"/>
    </row>
    <row r="395" spans="1:21">
      <c r="A395" s="2">
        <v>394</v>
      </c>
      <c r="B395" s="2">
        <v>0</v>
      </c>
      <c r="C395" s="2">
        <v>8000</v>
      </c>
      <c r="D395" s="2">
        <v>0</v>
      </c>
      <c r="E395" s="2">
        <v>1</v>
      </c>
      <c r="F395" s="2">
        <v>0</v>
      </c>
      <c r="G395" s="2">
        <v>0</v>
      </c>
      <c r="H395" s="2">
        <v>0</v>
      </c>
      <c r="I395" s="2">
        <v>0</v>
      </c>
      <c r="J395" s="2">
        <v>3</v>
      </c>
      <c r="K395" s="2">
        <v>1</v>
      </c>
      <c r="L395" s="2">
        <v>1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6"/>
      <c r="T395" s="7"/>
      <c r="U395" s="3"/>
    </row>
    <row r="396" spans="1:21">
      <c r="A396" s="2">
        <v>395</v>
      </c>
      <c r="B396" s="2">
        <v>0</v>
      </c>
      <c r="C396" s="2">
        <v>23000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2">
        <v>2</v>
      </c>
      <c r="K396" s="2">
        <v>0</v>
      </c>
      <c r="L396" s="2">
        <v>0</v>
      </c>
      <c r="M396" s="2">
        <v>0</v>
      </c>
      <c r="N396" s="2">
        <v>0</v>
      </c>
      <c r="O396" s="2">
        <v>1</v>
      </c>
      <c r="P396" s="2">
        <v>1</v>
      </c>
      <c r="Q396" s="2">
        <v>0</v>
      </c>
      <c r="R396" s="2">
        <v>0</v>
      </c>
      <c r="S396" s="6"/>
      <c r="T396" s="7"/>
      <c r="U396" s="3"/>
    </row>
    <row r="397" spans="1:21">
      <c r="A397" s="2">
        <v>396</v>
      </c>
      <c r="B397" s="2">
        <v>1</v>
      </c>
      <c r="C397" s="2">
        <v>72000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24</v>
      </c>
      <c r="K397" s="2">
        <v>0</v>
      </c>
      <c r="L397" s="2">
        <v>0</v>
      </c>
      <c r="M397" s="2">
        <v>0</v>
      </c>
      <c r="N397" s="2">
        <v>1</v>
      </c>
      <c r="O397" s="2">
        <v>1</v>
      </c>
      <c r="P397" s="2">
        <v>1</v>
      </c>
      <c r="Q397" s="2">
        <v>1</v>
      </c>
      <c r="R397" s="2">
        <v>0</v>
      </c>
      <c r="S397" s="6"/>
      <c r="T397" s="7"/>
      <c r="U397" s="3"/>
    </row>
    <row r="398" spans="1:21">
      <c r="A398" s="2">
        <v>397</v>
      </c>
      <c r="B398" s="2">
        <v>0</v>
      </c>
      <c r="C398" s="2">
        <v>47000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27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1</v>
      </c>
      <c r="Q398" s="2">
        <v>0</v>
      </c>
      <c r="R398" s="2">
        <v>0</v>
      </c>
      <c r="S398" s="6"/>
      <c r="T398" s="7"/>
      <c r="U398" s="3"/>
    </row>
    <row r="399" spans="1:21">
      <c r="A399" s="2">
        <v>398</v>
      </c>
      <c r="B399" s="2">
        <v>0</v>
      </c>
      <c r="C399" s="2">
        <v>48000</v>
      </c>
      <c r="D399" s="2">
        <v>0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2">
        <v>11</v>
      </c>
      <c r="K399" s="2">
        <v>1</v>
      </c>
      <c r="L399" s="2">
        <v>0</v>
      </c>
      <c r="M399" s="2">
        <v>0</v>
      </c>
      <c r="N399" s="2">
        <v>0</v>
      </c>
      <c r="O399" s="2">
        <v>1</v>
      </c>
      <c r="P399" s="2">
        <v>1</v>
      </c>
      <c r="Q399" s="2">
        <v>0</v>
      </c>
      <c r="R399" s="2">
        <v>0</v>
      </c>
      <c r="S399" s="6"/>
      <c r="T399" s="7"/>
      <c r="U399" s="3"/>
    </row>
    <row r="400" spans="1:21">
      <c r="A400" s="2">
        <v>399</v>
      </c>
      <c r="B400" s="2">
        <v>0</v>
      </c>
      <c r="C400" s="2">
        <v>33000</v>
      </c>
      <c r="D400" s="2">
        <v>0</v>
      </c>
      <c r="E400" s="2">
        <v>0</v>
      </c>
      <c r="F400" s="2">
        <v>1</v>
      </c>
      <c r="G400" s="2">
        <v>0</v>
      </c>
      <c r="H400" s="2">
        <v>1</v>
      </c>
      <c r="I400" s="2">
        <v>0</v>
      </c>
      <c r="J400" s="2">
        <v>26</v>
      </c>
      <c r="K400" s="2">
        <v>0</v>
      </c>
      <c r="L400" s="2">
        <v>0</v>
      </c>
      <c r="M400" s="2">
        <v>0</v>
      </c>
      <c r="N400" s="2">
        <v>0</v>
      </c>
      <c r="O400" s="2">
        <v>1</v>
      </c>
      <c r="P400" s="2">
        <v>1</v>
      </c>
      <c r="Q400" s="2">
        <v>0</v>
      </c>
      <c r="R400" s="2">
        <v>0</v>
      </c>
      <c r="S400" s="6"/>
      <c r="T400" s="7"/>
      <c r="U400" s="3"/>
    </row>
    <row r="401" spans="1:21">
      <c r="A401" s="2">
        <v>400</v>
      </c>
      <c r="B401" s="2">
        <v>1</v>
      </c>
      <c r="C401" s="2">
        <v>75000</v>
      </c>
      <c r="D401" s="2">
        <v>1</v>
      </c>
      <c r="E401" s="2">
        <v>1</v>
      </c>
      <c r="F401" s="2">
        <v>0</v>
      </c>
      <c r="G401" s="2">
        <v>1</v>
      </c>
      <c r="H401" s="2">
        <v>0</v>
      </c>
      <c r="I401" s="2">
        <v>0</v>
      </c>
      <c r="J401" s="2">
        <v>29</v>
      </c>
      <c r="K401" s="2">
        <v>0</v>
      </c>
      <c r="L401" s="2">
        <v>0</v>
      </c>
      <c r="M401" s="2">
        <v>1</v>
      </c>
      <c r="N401" s="2">
        <v>1</v>
      </c>
      <c r="O401" s="2">
        <v>1</v>
      </c>
      <c r="P401" s="2">
        <v>1</v>
      </c>
      <c r="Q401" s="2">
        <v>0</v>
      </c>
      <c r="R401" s="2">
        <v>0</v>
      </c>
      <c r="S401" s="6"/>
      <c r="T401" s="7"/>
      <c r="U401" s="3"/>
    </row>
    <row r="402" spans="1:21">
      <c r="A402" s="2">
        <v>401</v>
      </c>
      <c r="B402" s="2">
        <v>0</v>
      </c>
      <c r="C402" s="2">
        <v>7000</v>
      </c>
      <c r="D402" s="2">
        <v>1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13</v>
      </c>
      <c r="K402" s="2">
        <v>0</v>
      </c>
      <c r="L402" s="2">
        <v>0</v>
      </c>
      <c r="M402" s="2">
        <v>0</v>
      </c>
      <c r="N402" s="2">
        <v>1</v>
      </c>
      <c r="O402" s="2">
        <v>1</v>
      </c>
      <c r="P402" s="2">
        <v>1</v>
      </c>
      <c r="Q402" s="2">
        <v>0</v>
      </c>
      <c r="R402" s="2">
        <v>0</v>
      </c>
      <c r="S402" s="6"/>
      <c r="T402" s="7"/>
      <c r="U402" s="3"/>
    </row>
    <row r="403" spans="1:21">
      <c r="A403" s="2">
        <v>402</v>
      </c>
      <c r="B403" s="2">
        <v>0</v>
      </c>
      <c r="C403" s="2">
        <v>11000</v>
      </c>
      <c r="D403" s="2">
        <v>1</v>
      </c>
      <c r="E403" s="2">
        <v>0</v>
      </c>
      <c r="F403" s="2">
        <v>1</v>
      </c>
      <c r="G403" s="2">
        <v>0</v>
      </c>
      <c r="H403" s="2">
        <v>0</v>
      </c>
      <c r="I403" s="2">
        <v>0</v>
      </c>
      <c r="J403" s="2">
        <v>21</v>
      </c>
      <c r="K403" s="2">
        <v>0</v>
      </c>
      <c r="L403" s="2">
        <v>0</v>
      </c>
      <c r="M403" s="2">
        <v>0</v>
      </c>
      <c r="N403" s="2">
        <v>1</v>
      </c>
      <c r="O403" s="2">
        <v>0</v>
      </c>
      <c r="P403" s="2">
        <v>1</v>
      </c>
      <c r="Q403" s="2">
        <v>0</v>
      </c>
      <c r="R403" s="2">
        <v>0</v>
      </c>
      <c r="S403" s="6"/>
      <c r="T403" s="7"/>
      <c r="U403" s="3"/>
    </row>
    <row r="404" spans="1:21">
      <c r="A404" s="2">
        <v>403</v>
      </c>
      <c r="B404" s="2">
        <v>0</v>
      </c>
      <c r="C404" s="2">
        <v>50000</v>
      </c>
      <c r="D404" s="2">
        <v>1</v>
      </c>
      <c r="E404" s="2">
        <v>1</v>
      </c>
      <c r="F404" s="2">
        <v>0</v>
      </c>
      <c r="G404" s="2">
        <v>1</v>
      </c>
      <c r="H404" s="2">
        <v>0</v>
      </c>
      <c r="I404" s="2">
        <v>0</v>
      </c>
      <c r="J404" s="2">
        <v>16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>
        <v>1</v>
      </c>
      <c r="Q404" s="2">
        <v>0</v>
      </c>
      <c r="R404" s="2">
        <v>0</v>
      </c>
      <c r="S404" s="6"/>
      <c r="T404" s="7"/>
      <c r="U404" s="3"/>
    </row>
    <row r="405" spans="1:21">
      <c r="A405" s="2">
        <v>404</v>
      </c>
      <c r="B405" s="2">
        <v>0</v>
      </c>
      <c r="C405" s="2">
        <v>8000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7</v>
      </c>
      <c r="K405" s="2">
        <v>0</v>
      </c>
      <c r="L405" s="2">
        <v>1</v>
      </c>
      <c r="M405" s="2">
        <v>0</v>
      </c>
      <c r="N405" s="2">
        <v>1</v>
      </c>
      <c r="O405" s="2">
        <v>1</v>
      </c>
      <c r="P405" s="2">
        <v>1</v>
      </c>
      <c r="Q405" s="2">
        <v>0</v>
      </c>
      <c r="R405" s="2">
        <v>0</v>
      </c>
      <c r="S405" s="6"/>
      <c r="T405" s="7"/>
      <c r="U405" s="3"/>
    </row>
    <row r="406" spans="1:21">
      <c r="A406" s="2">
        <v>405</v>
      </c>
      <c r="B406" s="2">
        <v>0</v>
      </c>
      <c r="C406" s="2">
        <v>42000</v>
      </c>
      <c r="D406" s="2">
        <v>0</v>
      </c>
      <c r="E406" s="2">
        <v>1</v>
      </c>
      <c r="F406" s="2">
        <v>0</v>
      </c>
      <c r="G406" s="2">
        <v>0</v>
      </c>
      <c r="H406" s="2">
        <v>0</v>
      </c>
      <c r="I406" s="2">
        <v>0</v>
      </c>
      <c r="J406" s="2">
        <v>29</v>
      </c>
      <c r="K406" s="2">
        <v>1</v>
      </c>
      <c r="L406" s="2">
        <v>0</v>
      </c>
      <c r="M406" s="2">
        <v>1</v>
      </c>
      <c r="N406" s="2">
        <v>1</v>
      </c>
      <c r="O406" s="2">
        <v>1</v>
      </c>
      <c r="P406" s="2">
        <v>1</v>
      </c>
      <c r="Q406" s="2">
        <v>0</v>
      </c>
      <c r="R406" s="2">
        <v>0</v>
      </c>
      <c r="S406" s="6"/>
      <c r="T406" s="7"/>
      <c r="U406" s="3"/>
    </row>
    <row r="407" spans="1:21">
      <c r="A407" s="2">
        <v>406</v>
      </c>
      <c r="B407" s="2">
        <v>1</v>
      </c>
      <c r="C407" s="2">
        <v>69000</v>
      </c>
      <c r="D407" s="2">
        <v>0</v>
      </c>
      <c r="E407" s="2">
        <v>1</v>
      </c>
      <c r="F407" s="2">
        <v>1</v>
      </c>
      <c r="G407" s="2">
        <v>1</v>
      </c>
      <c r="H407" s="2">
        <v>0</v>
      </c>
      <c r="I407" s="2">
        <v>0</v>
      </c>
      <c r="J407" s="2">
        <v>30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>
        <v>1</v>
      </c>
      <c r="Q407" s="2">
        <v>0</v>
      </c>
      <c r="R407" s="2">
        <v>0</v>
      </c>
      <c r="S407" s="6"/>
      <c r="T407" s="7"/>
      <c r="U407" s="3"/>
    </row>
    <row r="408" spans="1:21">
      <c r="A408" s="2">
        <v>407</v>
      </c>
      <c r="B408" s="2">
        <v>0</v>
      </c>
      <c r="C408" s="2">
        <v>21000</v>
      </c>
      <c r="D408" s="2">
        <v>1</v>
      </c>
      <c r="E408" s="2">
        <v>0</v>
      </c>
      <c r="F408" s="2">
        <v>0</v>
      </c>
      <c r="G408" s="2">
        <v>1</v>
      </c>
      <c r="H408" s="2">
        <v>0</v>
      </c>
      <c r="I408" s="2">
        <v>0</v>
      </c>
      <c r="J408" s="2">
        <v>10</v>
      </c>
      <c r="K408" s="2">
        <v>0</v>
      </c>
      <c r="L408" s="2">
        <v>1</v>
      </c>
      <c r="M408" s="2">
        <v>0</v>
      </c>
      <c r="N408" s="2">
        <v>1</v>
      </c>
      <c r="O408" s="2">
        <v>1</v>
      </c>
      <c r="P408" s="2">
        <v>1</v>
      </c>
      <c r="Q408" s="2">
        <v>0</v>
      </c>
      <c r="R408" s="2">
        <v>0</v>
      </c>
      <c r="S408" s="6"/>
      <c r="T408" s="7"/>
      <c r="U408" s="3"/>
    </row>
    <row r="409" spans="1:21">
      <c r="A409" s="2">
        <v>408</v>
      </c>
      <c r="B409" s="2">
        <v>0</v>
      </c>
      <c r="C409" s="2">
        <v>12000</v>
      </c>
      <c r="D409" s="2">
        <v>1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19</v>
      </c>
      <c r="K409" s="2">
        <v>0</v>
      </c>
      <c r="L409" s="2">
        <v>1</v>
      </c>
      <c r="M409" s="2">
        <v>0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  <c r="S409" s="6"/>
      <c r="T409" s="7"/>
      <c r="U409" s="3"/>
    </row>
    <row r="410" spans="1:21">
      <c r="A410" s="2">
        <v>409</v>
      </c>
      <c r="B410" s="2">
        <v>1</v>
      </c>
      <c r="C410" s="2">
        <v>75000</v>
      </c>
      <c r="D410" s="2">
        <v>0</v>
      </c>
      <c r="E410" s="2">
        <v>1</v>
      </c>
      <c r="F410" s="2">
        <v>1</v>
      </c>
      <c r="G410" s="2">
        <v>0</v>
      </c>
      <c r="H410" s="2">
        <v>0</v>
      </c>
      <c r="I410" s="2">
        <v>0</v>
      </c>
      <c r="J410" s="2">
        <v>22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1</v>
      </c>
      <c r="Q410" s="2">
        <v>0</v>
      </c>
      <c r="R410" s="2">
        <v>0</v>
      </c>
      <c r="S410" s="6"/>
      <c r="T410" s="7"/>
      <c r="U410" s="3"/>
    </row>
    <row r="411" spans="1:21">
      <c r="A411" s="2">
        <v>410</v>
      </c>
      <c r="B411" s="2">
        <v>0</v>
      </c>
      <c r="C411" s="2">
        <v>24000</v>
      </c>
      <c r="D411" s="2">
        <v>1</v>
      </c>
      <c r="E411" s="2">
        <v>0</v>
      </c>
      <c r="F411" s="2">
        <v>0</v>
      </c>
      <c r="G411" s="2">
        <v>1</v>
      </c>
      <c r="H411" s="2">
        <v>0</v>
      </c>
      <c r="I411" s="2">
        <v>0</v>
      </c>
      <c r="J411" s="2">
        <v>16</v>
      </c>
      <c r="K411" s="2">
        <v>0</v>
      </c>
      <c r="L411" s="2">
        <v>0</v>
      </c>
      <c r="M411" s="2">
        <v>0</v>
      </c>
      <c r="N411" s="2">
        <v>0</v>
      </c>
      <c r="O411" s="2">
        <v>1</v>
      </c>
      <c r="P411" s="2">
        <v>1</v>
      </c>
      <c r="Q411" s="2">
        <v>0</v>
      </c>
      <c r="R411" s="2">
        <v>0</v>
      </c>
      <c r="S411" s="6"/>
      <c r="T411" s="7"/>
      <c r="U411" s="3"/>
    </row>
    <row r="412" spans="1:21">
      <c r="A412" s="2">
        <v>411</v>
      </c>
      <c r="B412" s="2">
        <v>0</v>
      </c>
      <c r="C412" s="2">
        <v>70000</v>
      </c>
      <c r="D412" s="2">
        <v>0</v>
      </c>
      <c r="E412" s="2">
        <v>0</v>
      </c>
      <c r="F412" s="2">
        <v>0</v>
      </c>
      <c r="G412" s="2">
        <v>1</v>
      </c>
      <c r="H412" s="2">
        <v>0</v>
      </c>
      <c r="I412" s="2">
        <v>0</v>
      </c>
      <c r="J412" s="2">
        <v>16</v>
      </c>
      <c r="K412" s="2">
        <v>0</v>
      </c>
      <c r="L412" s="2">
        <v>0</v>
      </c>
      <c r="M412" s="2">
        <v>0</v>
      </c>
      <c r="N412" s="2">
        <v>0</v>
      </c>
      <c r="O412" s="2">
        <v>1</v>
      </c>
      <c r="P412" s="2">
        <v>1</v>
      </c>
      <c r="Q412" s="2">
        <v>0</v>
      </c>
      <c r="R412" s="2">
        <v>0</v>
      </c>
      <c r="S412" s="6"/>
      <c r="T412" s="7"/>
      <c r="U412" s="3"/>
    </row>
    <row r="413" spans="1:21">
      <c r="A413" s="2">
        <v>412</v>
      </c>
      <c r="B413" s="2">
        <v>0</v>
      </c>
      <c r="C413" s="2">
        <v>42000</v>
      </c>
      <c r="D413" s="2">
        <v>0</v>
      </c>
      <c r="E413" s="2">
        <v>0</v>
      </c>
      <c r="F413" s="2">
        <v>1</v>
      </c>
      <c r="G413" s="2">
        <v>1</v>
      </c>
      <c r="H413" s="2">
        <v>0</v>
      </c>
      <c r="I413" s="2">
        <v>0</v>
      </c>
      <c r="J413" s="2">
        <v>3</v>
      </c>
      <c r="K413" s="2">
        <v>0</v>
      </c>
      <c r="L413" s="2">
        <v>0</v>
      </c>
      <c r="M413" s="2">
        <v>0</v>
      </c>
      <c r="N413" s="2">
        <v>0</v>
      </c>
      <c r="O413" s="2">
        <v>1</v>
      </c>
      <c r="P413" s="2">
        <v>1</v>
      </c>
      <c r="Q413" s="2">
        <v>0</v>
      </c>
      <c r="R413" s="2">
        <v>0</v>
      </c>
      <c r="S413" s="6"/>
      <c r="T413" s="7"/>
      <c r="U413" s="3"/>
    </row>
    <row r="414" spans="1:21">
      <c r="A414" s="2">
        <v>413</v>
      </c>
      <c r="B414" s="2">
        <v>0</v>
      </c>
      <c r="C414" s="2">
        <v>7000</v>
      </c>
      <c r="D414" s="2">
        <v>1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4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1</v>
      </c>
      <c r="Q414" s="2">
        <v>0</v>
      </c>
      <c r="R414" s="2">
        <v>1</v>
      </c>
      <c r="S414" s="6"/>
      <c r="T414" s="7"/>
      <c r="U414" s="3"/>
    </row>
    <row r="415" spans="1:21">
      <c r="A415" s="2">
        <v>414</v>
      </c>
      <c r="B415" s="2">
        <v>1</v>
      </c>
      <c r="C415" s="2">
        <v>75000</v>
      </c>
      <c r="D415" s="2">
        <v>0</v>
      </c>
      <c r="E415" s="2">
        <v>1</v>
      </c>
      <c r="F415" s="2">
        <v>1</v>
      </c>
      <c r="G415" s="2">
        <v>0</v>
      </c>
      <c r="H415" s="2">
        <v>0</v>
      </c>
      <c r="I415" s="2">
        <v>0</v>
      </c>
      <c r="J415" s="2">
        <v>33</v>
      </c>
      <c r="K415" s="2">
        <v>0</v>
      </c>
      <c r="L415" s="2">
        <v>1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  <c r="R415" s="2">
        <v>0</v>
      </c>
      <c r="S415" s="6"/>
      <c r="T415" s="7"/>
      <c r="U415" s="3"/>
    </row>
    <row r="416" spans="1:21">
      <c r="A416" s="2">
        <v>415</v>
      </c>
      <c r="B416" s="2">
        <v>0</v>
      </c>
      <c r="C416" s="2">
        <v>7000</v>
      </c>
      <c r="D416" s="2">
        <v>1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16</v>
      </c>
      <c r="K416" s="2">
        <v>0</v>
      </c>
      <c r="L416" s="2">
        <v>1</v>
      </c>
      <c r="M416" s="2">
        <v>0</v>
      </c>
      <c r="N416" s="2">
        <v>1</v>
      </c>
      <c r="O416" s="2">
        <v>1</v>
      </c>
      <c r="P416" s="2">
        <v>1</v>
      </c>
      <c r="Q416" s="2">
        <v>0</v>
      </c>
      <c r="R416" s="2">
        <v>0</v>
      </c>
      <c r="S416" s="6"/>
      <c r="T416" s="7"/>
      <c r="U416" s="3"/>
    </row>
    <row r="417" spans="1:21">
      <c r="A417" s="2">
        <v>416</v>
      </c>
      <c r="B417" s="2">
        <v>0</v>
      </c>
      <c r="C417" s="2">
        <v>75000</v>
      </c>
      <c r="D417" s="2">
        <v>0</v>
      </c>
      <c r="E417" s="2">
        <v>1</v>
      </c>
      <c r="F417" s="2">
        <v>1</v>
      </c>
      <c r="G417" s="2">
        <v>1</v>
      </c>
      <c r="H417" s="2">
        <v>0</v>
      </c>
      <c r="I417" s="2">
        <v>0</v>
      </c>
      <c r="J417" s="2">
        <v>6</v>
      </c>
      <c r="K417" s="2">
        <v>0</v>
      </c>
      <c r="L417" s="2">
        <v>0</v>
      </c>
      <c r="M417" s="2">
        <v>1</v>
      </c>
      <c r="N417" s="2">
        <v>1</v>
      </c>
      <c r="O417" s="2">
        <v>1</v>
      </c>
      <c r="P417" s="2">
        <v>1</v>
      </c>
      <c r="Q417" s="2">
        <v>0</v>
      </c>
      <c r="R417" s="2">
        <v>0</v>
      </c>
      <c r="S417" s="6"/>
      <c r="T417" s="7"/>
      <c r="U417" s="3"/>
    </row>
    <row r="418" spans="1:21">
      <c r="A418" s="2">
        <v>417</v>
      </c>
      <c r="B418" s="2">
        <v>0</v>
      </c>
      <c r="C418" s="2">
        <v>4000</v>
      </c>
      <c r="D418" s="2">
        <v>1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20</v>
      </c>
      <c r="K418" s="2">
        <v>0</v>
      </c>
      <c r="L418" s="2">
        <v>0</v>
      </c>
      <c r="M418" s="2">
        <v>0</v>
      </c>
      <c r="N418" s="2">
        <v>1</v>
      </c>
      <c r="O418" s="2">
        <v>1</v>
      </c>
      <c r="P418" s="2">
        <v>1</v>
      </c>
      <c r="Q418" s="2">
        <v>0</v>
      </c>
      <c r="R418" s="2">
        <v>0</v>
      </c>
      <c r="S418" s="6"/>
      <c r="T418" s="7"/>
      <c r="U418" s="3"/>
    </row>
    <row r="419" spans="1:21">
      <c r="A419" s="2">
        <v>418</v>
      </c>
      <c r="B419" s="2">
        <v>1</v>
      </c>
      <c r="C419" s="2">
        <v>75000</v>
      </c>
      <c r="D419" s="2">
        <v>1</v>
      </c>
      <c r="E419" s="2">
        <v>0</v>
      </c>
      <c r="F419" s="2">
        <v>1</v>
      </c>
      <c r="G419" s="2">
        <v>1</v>
      </c>
      <c r="H419" s="2">
        <v>0</v>
      </c>
      <c r="I419" s="2">
        <v>0</v>
      </c>
      <c r="J419" s="2">
        <v>21</v>
      </c>
      <c r="K419" s="2">
        <v>0</v>
      </c>
      <c r="L419" s="2">
        <v>0</v>
      </c>
      <c r="M419" s="2">
        <v>1</v>
      </c>
      <c r="N419" s="2">
        <v>1</v>
      </c>
      <c r="O419" s="2">
        <v>1</v>
      </c>
      <c r="P419" s="2">
        <v>1</v>
      </c>
      <c r="Q419" s="2">
        <v>0</v>
      </c>
      <c r="R419" s="2">
        <v>0</v>
      </c>
      <c r="S419" s="6"/>
      <c r="T419" s="7"/>
      <c r="U419" s="3"/>
    </row>
    <row r="420" spans="1:21">
      <c r="A420" s="2">
        <v>419</v>
      </c>
      <c r="B420" s="2">
        <v>0</v>
      </c>
      <c r="C420" s="2">
        <v>40000</v>
      </c>
      <c r="D420" s="2">
        <v>1</v>
      </c>
      <c r="E420" s="2">
        <v>0</v>
      </c>
      <c r="F420" s="2">
        <v>0</v>
      </c>
      <c r="G420" s="2">
        <v>1</v>
      </c>
      <c r="H420" s="2">
        <v>0</v>
      </c>
      <c r="I420" s="2">
        <v>0</v>
      </c>
      <c r="J420" s="2">
        <v>11</v>
      </c>
      <c r="K420" s="2">
        <v>0</v>
      </c>
      <c r="L420" s="2">
        <v>1</v>
      </c>
      <c r="M420" s="2">
        <v>1</v>
      </c>
      <c r="N420" s="2">
        <v>1</v>
      </c>
      <c r="O420" s="2">
        <v>1</v>
      </c>
      <c r="P420" s="2">
        <v>1</v>
      </c>
      <c r="Q420" s="2">
        <v>0</v>
      </c>
      <c r="R420" s="2">
        <v>0</v>
      </c>
      <c r="S420" s="6"/>
      <c r="T420" s="7"/>
      <c r="U420" s="3"/>
    </row>
    <row r="421" spans="1:21">
      <c r="A421" s="2">
        <v>420</v>
      </c>
      <c r="B421" s="2">
        <v>0</v>
      </c>
      <c r="C421" s="2">
        <v>75000</v>
      </c>
      <c r="D421" s="2">
        <v>0</v>
      </c>
      <c r="E421" s="2">
        <v>1</v>
      </c>
      <c r="F421" s="2">
        <v>1</v>
      </c>
      <c r="G421" s="2">
        <v>1</v>
      </c>
      <c r="H421" s="2">
        <v>0</v>
      </c>
      <c r="I421" s="2">
        <v>0</v>
      </c>
      <c r="J421" s="2">
        <v>36</v>
      </c>
      <c r="K421" s="2">
        <v>0</v>
      </c>
      <c r="L421" s="2">
        <v>0</v>
      </c>
      <c r="M421" s="2">
        <v>1</v>
      </c>
      <c r="N421" s="2">
        <v>1</v>
      </c>
      <c r="O421" s="2">
        <v>0</v>
      </c>
      <c r="P421" s="2">
        <v>1</v>
      </c>
      <c r="Q421" s="2">
        <v>0</v>
      </c>
      <c r="R421" s="2">
        <v>0</v>
      </c>
      <c r="S421" s="6"/>
      <c r="T421" s="7"/>
      <c r="U421" s="3"/>
    </row>
    <row r="422" spans="1:21">
      <c r="A422" s="2">
        <v>421</v>
      </c>
      <c r="B422" s="2">
        <v>0</v>
      </c>
      <c r="C422" s="2">
        <v>34000</v>
      </c>
      <c r="D422" s="2">
        <v>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6</v>
      </c>
      <c r="K422" s="2">
        <v>0</v>
      </c>
      <c r="L422" s="2">
        <v>1</v>
      </c>
      <c r="M422" s="2">
        <v>0</v>
      </c>
      <c r="N422" s="2">
        <v>0</v>
      </c>
      <c r="O422" s="2">
        <v>0</v>
      </c>
      <c r="P422" s="2">
        <v>1</v>
      </c>
      <c r="Q422" s="2">
        <v>1</v>
      </c>
      <c r="R422" s="2">
        <v>0</v>
      </c>
      <c r="S422" s="6"/>
      <c r="T422" s="7"/>
      <c r="U422" s="3"/>
    </row>
    <row r="423" spans="1:21">
      <c r="A423" s="2">
        <v>422</v>
      </c>
      <c r="B423" s="2">
        <v>1</v>
      </c>
      <c r="C423" s="2">
        <v>67000</v>
      </c>
      <c r="D423" s="2">
        <v>0</v>
      </c>
      <c r="E423" s="2">
        <v>1</v>
      </c>
      <c r="F423" s="2">
        <v>1</v>
      </c>
      <c r="G423" s="2">
        <v>1</v>
      </c>
      <c r="H423" s="2">
        <v>0</v>
      </c>
      <c r="I423" s="2">
        <v>0</v>
      </c>
      <c r="J423" s="2">
        <v>29</v>
      </c>
      <c r="K423" s="2">
        <v>1</v>
      </c>
      <c r="L423" s="2">
        <v>0</v>
      </c>
      <c r="M423" s="2">
        <v>1</v>
      </c>
      <c r="N423" s="2">
        <v>1</v>
      </c>
      <c r="O423" s="2">
        <v>1</v>
      </c>
      <c r="P423" s="2">
        <v>1</v>
      </c>
      <c r="Q423" s="2">
        <v>0</v>
      </c>
      <c r="R423" s="2">
        <v>0</v>
      </c>
      <c r="S423" s="6"/>
      <c r="T423" s="7"/>
      <c r="U423" s="3"/>
    </row>
    <row r="424" spans="1:21">
      <c r="A424" s="2">
        <v>423</v>
      </c>
      <c r="B424" s="2">
        <v>0</v>
      </c>
      <c r="C424" s="2">
        <v>50000</v>
      </c>
      <c r="D424" s="2">
        <v>1</v>
      </c>
      <c r="E424" s="2">
        <v>1</v>
      </c>
      <c r="F424" s="2">
        <v>0</v>
      </c>
      <c r="G424" s="2">
        <v>1</v>
      </c>
      <c r="H424" s="2">
        <v>0</v>
      </c>
      <c r="I424" s="2">
        <v>0</v>
      </c>
      <c r="J424" s="2">
        <v>24</v>
      </c>
      <c r="K424" s="2">
        <v>1</v>
      </c>
      <c r="L424" s="2">
        <v>0</v>
      </c>
      <c r="M424" s="2">
        <v>1</v>
      </c>
      <c r="N424" s="2">
        <v>1</v>
      </c>
      <c r="O424" s="2">
        <v>1</v>
      </c>
      <c r="P424" s="2">
        <v>1</v>
      </c>
      <c r="Q424" s="2">
        <v>0</v>
      </c>
      <c r="R424" s="2">
        <v>1</v>
      </c>
      <c r="S424" s="6"/>
      <c r="T424" s="7"/>
      <c r="U424" s="3"/>
    </row>
    <row r="425" spans="1:21">
      <c r="A425" s="2">
        <v>424</v>
      </c>
      <c r="B425" s="2">
        <v>0</v>
      </c>
      <c r="C425" s="2">
        <v>8000</v>
      </c>
      <c r="D425" s="2">
        <v>1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2">
        <v>29</v>
      </c>
      <c r="K425" s="2">
        <v>1</v>
      </c>
      <c r="L425" s="2">
        <v>0</v>
      </c>
      <c r="M425" s="2">
        <v>1</v>
      </c>
      <c r="N425" s="2">
        <v>1</v>
      </c>
      <c r="O425" s="2">
        <v>0</v>
      </c>
      <c r="P425" s="2">
        <v>0</v>
      </c>
      <c r="Q425" s="2">
        <v>0</v>
      </c>
      <c r="R425" s="2">
        <v>0</v>
      </c>
      <c r="S425" s="6"/>
      <c r="T425" s="7"/>
      <c r="U425" s="3"/>
    </row>
    <row r="426" spans="1:21">
      <c r="A426" s="2">
        <v>425</v>
      </c>
      <c r="B426" s="2">
        <v>0</v>
      </c>
      <c r="C426" s="2">
        <v>26000</v>
      </c>
      <c r="D426" s="2">
        <v>1</v>
      </c>
      <c r="E426" s="2">
        <v>0</v>
      </c>
      <c r="F426" s="2">
        <v>1</v>
      </c>
      <c r="G426" s="2">
        <v>1</v>
      </c>
      <c r="H426" s="2">
        <v>0</v>
      </c>
      <c r="I426" s="2">
        <v>0</v>
      </c>
      <c r="J426" s="2">
        <v>2</v>
      </c>
      <c r="K426" s="2">
        <v>0</v>
      </c>
      <c r="L426" s="2">
        <v>0</v>
      </c>
      <c r="M426" s="2">
        <v>0</v>
      </c>
      <c r="N426" s="2">
        <v>1</v>
      </c>
      <c r="O426" s="2">
        <v>1</v>
      </c>
      <c r="P426" s="2">
        <v>1</v>
      </c>
      <c r="Q426" s="2">
        <v>0</v>
      </c>
      <c r="R426" s="2">
        <v>1</v>
      </c>
      <c r="S426" s="6"/>
      <c r="T426" s="7"/>
      <c r="U426" s="3"/>
    </row>
    <row r="427" spans="1:21">
      <c r="A427" s="2">
        <v>426</v>
      </c>
      <c r="B427" s="2">
        <v>0</v>
      </c>
      <c r="C427" s="2">
        <v>50000</v>
      </c>
      <c r="D427" s="2">
        <v>0</v>
      </c>
      <c r="E427" s="2">
        <v>0</v>
      </c>
      <c r="F427" s="2">
        <v>1</v>
      </c>
      <c r="G427" s="2">
        <v>1</v>
      </c>
      <c r="H427" s="2">
        <v>0</v>
      </c>
      <c r="I427" s="2">
        <v>0</v>
      </c>
      <c r="J427" s="2">
        <v>3</v>
      </c>
      <c r="K427" s="2">
        <v>0</v>
      </c>
      <c r="L427" s="2">
        <v>1</v>
      </c>
      <c r="M427" s="2">
        <v>0</v>
      </c>
      <c r="N427" s="2">
        <v>1</v>
      </c>
      <c r="O427" s="2">
        <v>0</v>
      </c>
      <c r="P427" s="2">
        <v>1</v>
      </c>
      <c r="Q427" s="2">
        <v>0</v>
      </c>
      <c r="R427" s="2">
        <v>0</v>
      </c>
      <c r="S427" s="6"/>
      <c r="T427" s="7"/>
      <c r="U427" s="3"/>
    </row>
    <row r="428" spans="1:21">
      <c r="A428" s="2">
        <v>427</v>
      </c>
      <c r="B428" s="2">
        <v>0</v>
      </c>
      <c r="C428" s="2">
        <v>42000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19</v>
      </c>
      <c r="K428" s="2">
        <v>0</v>
      </c>
      <c r="L428" s="2">
        <v>1</v>
      </c>
      <c r="M428" s="2">
        <v>0</v>
      </c>
      <c r="N428" s="2">
        <v>1</v>
      </c>
      <c r="O428" s="2">
        <v>1</v>
      </c>
      <c r="P428" s="2">
        <v>1</v>
      </c>
      <c r="Q428" s="2">
        <v>0</v>
      </c>
      <c r="R428" s="2">
        <v>0</v>
      </c>
      <c r="S428" s="6"/>
      <c r="T428" s="7"/>
      <c r="U428" s="3"/>
    </row>
    <row r="429" spans="1:21">
      <c r="A429" s="2">
        <v>428</v>
      </c>
      <c r="B429" s="2">
        <v>0</v>
      </c>
      <c r="C429" s="2">
        <v>11000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10</v>
      </c>
      <c r="K429" s="2">
        <v>0</v>
      </c>
      <c r="L429" s="2">
        <v>0</v>
      </c>
      <c r="M429" s="2">
        <v>0</v>
      </c>
      <c r="N429" s="2">
        <v>1</v>
      </c>
      <c r="O429" s="2">
        <v>1</v>
      </c>
      <c r="P429" s="2">
        <v>1</v>
      </c>
      <c r="Q429" s="2">
        <v>0</v>
      </c>
      <c r="R429" s="2">
        <v>0</v>
      </c>
      <c r="S429" s="6"/>
      <c r="T429" s="7"/>
      <c r="U429" s="3"/>
    </row>
    <row r="430" spans="1:21">
      <c r="A430" s="2">
        <v>429</v>
      </c>
      <c r="B430" s="2">
        <v>0</v>
      </c>
      <c r="C430" s="2">
        <v>23000</v>
      </c>
      <c r="D430" s="2">
        <v>1</v>
      </c>
      <c r="E430" s="2">
        <v>0</v>
      </c>
      <c r="F430" s="2">
        <v>1</v>
      </c>
      <c r="G430" s="2">
        <v>1</v>
      </c>
      <c r="H430" s="2">
        <v>0</v>
      </c>
      <c r="I430" s="2">
        <v>0</v>
      </c>
      <c r="J430" s="2">
        <v>2</v>
      </c>
      <c r="K430" s="2">
        <v>0</v>
      </c>
      <c r="L430" s="2">
        <v>0</v>
      </c>
      <c r="M430" s="2">
        <v>0</v>
      </c>
      <c r="N430" s="2">
        <v>0</v>
      </c>
      <c r="O430" s="2">
        <v>1</v>
      </c>
      <c r="P430" s="2">
        <v>1</v>
      </c>
      <c r="Q430" s="2">
        <v>0</v>
      </c>
      <c r="R430" s="2">
        <v>0</v>
      </c>
      <c r="S430" s="6"/>
      <c r="T430" s="7"/>
      <c r="U430" s="3"/>
    </row>
    <row r="431" spans="1:21">
      <c r="A431" s="2">
        <v>430</v>
      </c>
      <c r="B431" s="2">
        <v>0</v>
      </c>
      <c r="C431" s="2">
        <v>16000</v>
      </c>
      <c r="D431" s="2">
        <v>1</v>
      </c>
      <c r="E431" s="2">
        <v>0</v>
      </c>
      <c r="F431" s="2">
        <v>1</v>
      </c>
      <c r="G431" s="2">
        <v>0</v>
      </c>
      <c r="H431" s="2">
        <v>0</v>
      </c>
      <c r="I431" s="2">
        <v>0</v>
      </c>
      <c r="J431" s="2">
        <v>20</v>
      </c>
      <c r="K431" s="2">
        <v>0</v>
      </c>
      <c r="L431" s="2">
        <v>0</v>
      </c>
      <c r="M431" s="2">
        <v>0</v>
      </c>
      <c r="N431" s="2">
        <v>0</v>
      </c>
      <c r="O431" s="2">
        <v>1</v>
      </c>
      <c r="P431" s="2">
        <v>1</v>
      </c>
      <c r="Q431" s="2">
        <v>0</v>
      </c>
      <c r="R431" s="2">
        <v>0</v>
      </c>
      <c r="S431" s="6"/>
      <c r="T431" s="7"/>
      <c r="U431" s="3"/>
    </row>
    <row r="432" spans="1:21">
      <c r="A432" s="2">
        <v>431</v>
      </c>
      <c r="B432" s="2">
        <v>0</v>
      </c>
      <c r="C432" s="2">
        <v>4000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17</v>
      </c>
      <c r="K432" s="2">
        <v>0</v>
      </c>
      <c r="L432" s="2">
        <v>1</v>
      </c>
      <c r="M432" s="2">
        <v>0</v>
      </c>
      <c r="N432" s="2">
        <v>1</v>
      </c>
      <c r="O432" s="2">
        <v>1</v>
      </c>
      <c r="P432" s="2">
        <v>1</v>
      </c>
      <c r="Q432" s="2">
        <v>0</v>
      </c>
      <c r="R432" s="2">
        <v>0</v>
      </c>
      <c r="S432" s="6"/>
      <c r="T432" s="7"/>
      <c r="U432" s="3"/>
    </row>
    <row r="433" spans="1:21">
      <c r="A433" s="2">
        <v>432</v>
      </c>
      <c r="B433" s="2">
        <v>0</v>
      </c>
      <c r="C433" s="2">
        <v>34000</v>
      </c>
      <c r="D433" s="2">
        <v>1</v>
      </c>
      <c r="E433" s="2">
        <v>1</v>
      </c>
      <c r="F433" s="2">
        <v>0</v>
      </c>
      <c r="G433" s="2">
        <v>0</v>
      </c>
      <c r="H433" s="2">
        <v>0</v>
      </c>
      <c r="I433" s="2">
        <v>0</v>
      </c>
      <c r="J433" s="2">
        <v>36</v>
      </c>
      <c r="K433" s="2">
        <v>0</v>
      </c>
      <c r="L433" s="2">
        <v>1</v>
      </c>
      <c r="M433" s="2">
        <v>1</v>
      </c>
      <c r="N433" s="2">
        <v>1</v>
      </c>
      <c r="O433" s="2">
        <v>1</v>
      </c>
      <c r="P433" s="2">
        <v>1</v>
      </c>
      <c r="Q433" s="2">
        <v>0</v>
      </c>
      <c r="R433" s="2">
        <v>0</v>
      </c>
      <c r="S433" s="6"/>
      <c r="T433" s="7"/>
      <c r="U433" s="3"/>
    </row>
    <row r="434" spans="1:21">
      <c r="A434" s="2">
        <v>433</v>
      </c>
      <c r="B434" s="2">
        <v>1</v>
      </c>
      <c r="C434" s="2">
        <v>75000</v>
      </c>
      <c r="D434" s="2">
        <v>1</v>
      </c>
      <c r="E434" s="2">
        <v>1</v>
      </c>
      <c r="F434" s="2">
        <v>0</v>
      </c>
      <c r="G434" s="2">
        <v>0</v>
      </c>
      <c r="H434" s="2">
        <v>0</v>
      </c>
      <c r="I434" s="2">
        <v>0</v>
      </c>
      <c r="J434" s="2">
        <v>23</v>
      </c>
      <c r="K434" s="2">
        <v>1</v>
      </c>
      <c r="L434" s="2">
        <v>0</v>
      </c>
      <c r="M434" s="2">
        <v>0</v>
      </c>
      <c r="N434" s="2">
        <v>1</v>
      </c>
      <c r="O434" s="2">
        <v>1</v>
      </c>
      <c r="P434" s="2">
        <v>1</v>
      </c>
      <c r="Q434" s="2">
        <v>0</v>
      </c>
      <c r="R434" s="2">
        <v>0</v>
      </c>
      <c r="S434" s="6"/>
      <c r="T434" s="7"/>
      <c r="U434" s="3"/>
    </row>
    <row r="435" spans="1:21">
      <c r="A435" s="2">
        <v>434</v>
      </c>
      <c r="B435" s="2">
        <v>1</v>
      </c>
      <c r="C435" s="2">
        <v>75000</v>
      </c>
      <c r="D435" s="2">
        <v>1</v>
      </c>
      <c r="E435" s="2">
        <v>0</v>
      </c>
      <c r="F435" s="2">
        <v>0</v>
      </c>
      <c r="G435" s="2">
        <v>1</v>
      </c>
      <c r="H435" s="2">
        <v>0</v>
      </c>
      <c r="I435" s="2">
        <v>0</v>
      </c>
      <c r="J435" s="2">
        <v>19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  <c r="P435" s="2">
        <v>1</v>
      </c>
      <c r="Q435" s="2">
        <v>0</v>
      </c>
      <c r="R435" s="2">
        <v>0</v>
      </c>
      <c r="S435" s="6"/>
      <c r="T435" s="7"/>
      <c r="U435" s="3"/>
    </row>
    <row r="436" spans="1:21">
      <c r="A436" s="2">
        <v>435</v>
      </c>
      <c r="B436" s="2">
        <v>1</v>
      </c>
      <c r="C436" s="2">
        <v>75000</v>
      </c>
      <c r="D436" s="2">
        <v>0</v>
      </c>
      <c r="E436" s="2">
        <v>1</v>
      </c>
      <c r="F436" s="2">
        <v>1</v>
      </c>
      <c r="G436" s="2">
        <v>1</v>
      </c>
      <c r="H436" s="2">
        <v>0</v>
      </c>
      <c r="I436" s="2">
        <v>0</v>
      </c>
      <c r="J436" s="2">
        <v>10</v>
      </c>
      <c r="K436" s="2">
        <v>1</v>
      </c>
      <c r="L436" s="2">
        <v>0</v>
      </c>
      <c r="M436" s="2">
        <v>1</v>
      </c>
      <c r="N436" s="2">
        <v>1</v>
      </c>
      <c r="O436" s="2">
        <v>1</v>
      </c>
      <c r="P436" s="2">
        <v>1</v>
      </c>
      <c r="Q436" s="2">
        <v>0</v>
      </c>
      <c r="R436" s="2">
        <v>0</v>
      </c>
      <c r="S436" s="6"/>
      <c r="T436" s="7"/>
      <c r="U436" s="3"/>
    </row>
    <row r="437" spans="1:21">
      <c r="A437" s="2">
        <v>436</v>
      </c>
      <c r="B437" s="2">
        <v>0</v>
      </c>
      <c r="C437" s="2">
        <v>15000</v>
      </c>
      <c r="D437" s="2">
        <v>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4</v>
      </c>
      <c r="K437" s="2">
        <v>0</v>
      </c>
      <c r="L437" s="2">
        <v>0</v>
      </c>
      <c r="M437" s="2">
        <v>0</v>
      </c>
      <c r="N437" s="2">
        <v>1</v>
      </c>
      <c r="O437" s="2">
        <v>0</v>
      </c>
      <c r="P437" s="2">
        <v>1</v>
      </c>
      <c r="Q437" s="2">
        <v>0</v>
      </c>
      <c r="R437" s="2">
        <v>0</v>
      </c>
      <c r="S437" s="6"/>
      <c r="T437" s="7"/>
      <c r="U437" s="3"/>
    </row>
    <row r="438" spans="1:21">
      <c r="A438" s="2">
        <v>437</v>
      </c>
      <c r="B438" s="2">
        <v>0</v>
      </c>
      <c r="C438" s="2">
        <v>59000</v>
      </c>
      <c r="D438" s="2">
        <v>1</v>
      </c>
      <c r="E438" s="2">
        <v>0</v>
      </c>
      <c r="F438" s="2">
        <v>1</v>
      </c>
      <c r="G438" s="2">
        <v>1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1</v>
      </c>
      <c r="N438" s="2">
        <v>1</v>
      </c>
      <c r="O438" s="2">
        <v>1</v>
      </c>
      <c r="P438" s="2">
        <v>1</v>
      </c>
      <c r="Q438" s="2">
        <v>0</v>
      </c>
      <c r="R438" s="2">
        <v>0</v>
      </c>
      <c r="S438" s="6"/>
      <c r="T438" s="7"/>
      <c r="U438" s="3"/>
    </row>
    <row r="439" spans="1:21">
      <c r="A439" s="2">
        <v>438</v>
      </c>
      <c r="B439" s="2">
        <v>1</v>
      </c>
      <c r="C439" s="2">
        <v>69000</v>
      </c>
      <c r="D439" s="2">
        <v>1</v>
      </c>
      <c r="E439" s="2">
        <v>1</v>
      </c>
      <c r="F439" s="2">
        <v>1</v>
      </c>
      <c r="G439" s="2">
        <v>1</v>
      </c>
      <c r="H439" s="2">
        <v>0</v>
      </c>
      <c r="I439" s="2">
        <v>0</v>
      </c>
      <c r="J439" s="2">
        <v>34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>
        <v>1</v>
      </c>
      <c r="Q439" s="2">
        <v>1</v>
      </c>
      <c r="R439" s="2">
        <v>0</v>
      </c>
      <c r="S439" s="6"/>
      <c r="T439" s="7"/>
      <c r="U439" s="3"/>
    </row>
    <row r="440" spans="1:21">
      <c r="A440" s="2">
        <v>439</v>
      </c>
      <c r="B440" s="2">
        <v>0</v>
      </c>
      <c r="C440" s="2">
        <v>40000</v>
      </c>
      <c r="D440" s="2">
        <v>0</v>
      </c>
      <c r="E440" s="2">
        <v>1</v>
      </c>
      <c r="F440" s="2">
        <v>0</v>
      </c>
      <c r="G440" s="2">
        <v>0</v>
      </c>
      <c r="H440" s="2">
        <v>0</v>
      </c>
      <c r="I440" s="2">
        <v>0</v>
      </c>
      <c r="J440" s="2">
        <v>19</v>
      </c>
      <c r="K440" s="2">
        <v>1</v>
      </c>
      <c r="L440" s="2">
        <v>0</v>
      </c>
      <c r="M440" s="2">
        <v>0</v>
      </c>
      <c r="N440" s="2">
        <v>1</v>
      </c>
      <c r="O440" s="2">
        <v>1</v>
      </c>
      <c r="P440" s="2">
        <v>1</v>
      </c>
      <c r="Q440" s="2">
        <v>0</v>
      </c>
      <c r="R440" s="2">
        <v>0</v>
      </c>
      <c r="S440" s="6"/>
      <c r="T440" s="7"/>
      <c r="U440" s="3"/>
    </row>
    <row r="441" spans="1:21">
      <c r="A441" s="2">
        <v>440</v>
      </c>
      <c r="B441" s="2">
        <v>0</v>
      </c>
      <c r="C441" s="2">
        <v>17000</v>
      </c>
      <c r="D441" s="2">
        <v>1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23</v>
      </c>
      <c r="K441" s="2">
        <v>0</v>
      </c>
      <c r="L441" s="2">
        <v>1</v>
      </c>
      <c r="M441" s="2">
        <v>1</v>
      </c>
      <c r="N441" s="2">
        <v>1</v>
      </c>
      <c r="O441" s="2">
        <v>1</v>
      </c>
      <c r="P441" s="2">
        <v>1</v>
      </c>
      <c r="Q441" s="2">
        <v>0</v>
      </c>
      <c r="R441" s="2">
        <v>1</v>
      </c>
      <c r="S441" s="6"/>
      <c r="T441" s="7"/>
      <c r="U441" s="3"/>
    </row>
    <row r="442" spans="1:21">
      <c r="A442" s="2">
        <v>441</v>
      </c>
      <c r="B442" s="2">
        <v>0</v>
      </c>
      <c r="C442" s="2">
        <v>53000</v>
      </c>
      <c r="D442" s="2">
        <v>1</v>
      </c>
      <c r="E442" s="2">
        <v>1</v>
      </c>
      <c r="F442" s="2">
        <v>1</v>
      </c>
      <c r="G442" s="2">
        <v>1</v>
      </c>
      <c r="H442" s="2">
        <v>0</v>
      </c>
      <c r="I442" s="2">
        <v>0</v>
      </c>
      <c r="J442" s="2">
        <v>12</v>
      </c>
      <c r="K442" s="2">
        <v>1</v>
      </c>
      <c r="L442" s="2">
        <v>0</v>
      </c>
      <c r="M442" s="2">
        <v>1</v>
      </c>
      <c r="N442" s="2">
        <v>1</v>
      </c>
      <c r="O442" s="2">
        <v>1</v>
      </c>
      <c r="P442" s="2">
        <v>1</v>
      </c>
      <c r="Q442" s="2">
        <v>0</v>
      </c>
      <c r="R442" s="2">
        <v>0</v>
      </c>
      <c r="S442" s="6"/>
      <c r="T442" s="7"/>
      <c r="U442" s="3"/>
    </row>
    <row r="443" spans="1:21">
      <c r="A443" s="2">
        <v>442</v>
      </c>
      <c r="B443" s="2">
        <v>0</v>
      </c>
      <c r="C443" s="2">
        <v>38000</v>
      </c>
      <c r="D443" s="2">
        <v>0</v>
      </c>
      <c r="E443" s="2">
        <v>0</v>
      </c>
      <c r="F443" s="2">
        <v>1</v>
      </c>
      <c r="G443" s="2">
        <v>1</v>
      </c>
      <c r="H443" s="2">
        <v>0</v>
      </c>
      <c r="I443" s="2">
        <v>0</v>
      </c>
      <c r="J443" s="2">
        <v>2</v>
      </c>
      <c r="K443" s="2">
        <v>0</v>
      </c>
      <c r="L443" s="2">
        <v>0</v>
      </c>
      <c r="M443" s="2">
        <v>0</v>
      </c>
      <c r="N443" s="2">
        <v>0</v>
      </c>
      <c r="O443" s="2">
        <v>1</v>
      </c>
      <c r="P443" s="2">
        <v>1</v>
      </c>
      <c r="Q443" s="2">
        <v>0</v>
      </c>
      <c r="R443" s="2">
        <v>0</v>
      </c>
      <c r="S443" s="6"/>
      <c r="T443" s="7"/>
      <c r="U443" s="3"/>
    </row>
    <row r="444" spans="1:21">
      <c r="A444" s="2">
        <v>443</v>
      </c>
      <c r="B444" s="2">
        <v>0</v>
      </c>
      <c r="C444" s="2">
        <v>22000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15</v>
      </c>
      <c r="K444" s="2">
        <v>1</v>
      </c>
      <c r="L444" s="2">
        <v>0</v>
      </c>
      <c r="M444" s="2">
        <v>0</v>
      </c>
      <c r="N444" s="2">
        <v>0</v>
      </c>
      <c r="O444" s="2">
        <v>1</v>
      </c>
      <c r="P444" s="2">
        <v>1</v>
      </c>
      <c r="Q444" s="2">
        <v>0</v>
      </c>
      <c r="R444" s="2">
        <v>0</v>
      </c>
      <c r="S444" s="6"/>
      <c r="T444" s="7"/>
      <c r="U444" s="3"/>
    </row>
    <row r="445" spans="1:21">
      <c r="A445" s="2">
        <v>444</v>
      </c>
      <c r="B445" s="2">
        <v>1</v>
      </c>
      <c r="C445" s="2">
        <v>75000</v>
      </c>
      <c r="D445" s="2">
        <v>1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22</v>
      </c>
      <c r="K445" s="2">
        <v>0</v>
      </c>
      <c r="L445" s="2">
        <v>0</v>
      </c>
      <c r="M445" s="2">
        <v>0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6"/>
      <c r="T445" s="7"/>
      <c r="U445" s="3"/>
    </row>
    <row r="446" spans="1:21">
      <c r="A446" s="2">
        <v>445</v>
      </c>
      <c r="B446" s="2">
        <v>0</v>
      </c>
      <c r="C446" s="2">
        <v>12000</v>
      </c>
      <c r="D446" s="2">
        <v>1</v>
      </c>
      <c r="E446" s="2">
        <v>1</v>
      </c>
      <c r="F446" s="2">
        <v>0</v>
      </c>
      <c r="G446" s="2">
        <v>1</v>
      </c>
      <c r="H446" s="2">
        <v>0</v>
      </c>
      <c r="I446" s="2">
        <v>0</v>
      </c>
      <c r="J446" s="2">
        <v>7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  <c r="P446" s="2">
        <v>1</v>
      </c>
      <c r="Q446" s="2">
        <v>0</v>
      </c>
      <c r="R446" s="2">
        <v>0</v>
      </c>
      <c r="S446" s="6"/>
      <c r="T446" s="7"/>
      <c r="U446" s="3"/>
    </row>
    <row r="447" spans="1:21">
      <c r="A447" s="2">
        <v>446</v>
      </c>
      <c r="B447" s="2">
        <v>1</v>
      </c>
      <c r="C447" s="2">
        <v>75000</v>
      </c>
      <c r="D447" s="2">
        <v>0</v>
      </c>
      <c r="E447" s="2">
        <v>1</v>
      </c>
      <c r="F447" s="2">
        <v>1</v>
      </c>
      <c r="G447" s="2">
        <v>1</v>
      </c>
      <c r="H447" s="2">
        <v>0</v>
      </c>
      <c r="I447" s="2">
        <v>0</v>
      </c>
      <c r="J447" s="2">
        <v>15</v>
      </c>
      <c r="K447" s="2">
        <v>0</v>
      </c>
      <c r="L447" s="2">
        <v>0</v>
      </c>
      <c r="M447" s="2">
        <v>1</v>
      </c>
      <c r="N447" s="2">
        <v>1</v>
      </c>
      <c r="O447" s="2">
        <v>1</v>
      </c>
      <c r="P447" s="2">
        <v>1</v>
      </c>
      <c r="Q447" s="2">
        <v>0</v>
      </c>
      <c r="R447" s="2">
        <v>0</v>
      </c>
      <c r="S447" s="6"/>
      <c r="T447" s="7"/>
      <c r="U447" s="3"/>
    </row>
    <row r="448" spans="1:21">
      <c r="A448" s="2">
        <v>447</v>
      </c>
      <c r="B448" s="2">
        <v>0</v>
      </c>
      <c r="C448" s="2">
        <v>60000</v>
      </c>
      <c r="D448" s="2">
        <v>0</v>
      </c>
      <c r="E448" s="2">
        <v>0</v>
      </c>
      <c r="F448" s="2">
        <v>0</v>
      </c>
      <c r="G448" s="2">
        <v>1</v>
      </c>
      <c r="H448" s="2">
        <v>0</v>
      </c>
      <c r="I448" s="2">
        <v>0</v>
      </c>
      <c r="J448" s="2">
        <v>36</v>
      </c>
      <c r="K448" s="2">
        <v>1</v>
      </c>
      <c r="L448" s="2">
        <v>0</v>
      </c>
      <c r="M448" s="2">
        <v>0</v>
      </c>
      <c r="N448" s="2">
        <v>0</v>
      </c>
      <c r="O448" s="2">
        <v>1</v>
      </c>
      <c r="P448" s="2">
        <v>1</v>
      </c>
      <c r="Q448" s="2">
        <v>0</v>
      </c>
      <c r="R448" s="2">
        <v>0</v>
      </c>
      <c r="S448" s="6"/>
      <c r="T448" s="7"/>
      <c r="U448" s="3"/>
    </row>
    <row r="449" spans="1:21">
      <c r="A449" s="2">
        <v>448</v>
      </c>
      <c r="B449" s="2">
        <v>0</v>
      </c>
      <c r="C449" s="2">
        <v>55000</v>
      </c>
      <c r="D449" s="2">
        <v>0</v>
      </c>
      <c r="E449" s="2">
        <v>0</v>
      </c>
      <c r="F449" s="2">
        <v>1</v>
      </c>
      <c r="G449" s="2">
        <v>1</v>
      </c>
      <c r="H449" s="2">
        <v>0</v>
      </c>
      <c r="I449" s="2">
        <v>0</v>
      </c>
      <c r="J449" s="2">
        <v>3</v>
      </c>
      <c r="K449" s="2">
        <v>0</v>
      </c>
      <c r="L449" s="2">
        <v>0</v>
      </c>
      <c r="M449" s="2">
        <v>0</v>
      </c>
      <c r="N449" s="2">
        <v>0</v>
      </c>
      <c r="O449" s="2">
        <v>1</v>
      </c>
      <c r="P449" s="2">
        <v>1</v>
      </c>
      <c r="Q449" s="2">
        <v>0</v>
      </c>
      <c r="R449" s="2">
        <v>0</v>
      </c>
      <c r="S449" s="6"/>
      <c r="T449" s="7"/>
      <c r="U449" s="3"/>
    </row>
    <row r="450" spans="1:21">
      <c r="A450" s="2">
        <v>449</v>
      </c>
      <c r="B450" s="2">
        <v>0</v>
      </c>
      <c r="C450" s="2">
        <v>75000</v>
      </c>
      <c r="D450" s="2">
        <v>0</v>
      </c>
      <c r="E450" s="2">
        <v>1</v>
      </c>
      <c r="F450" s="2">
        <v>1</v>
      </c>
      <c r="G450" s="2">
        <v>0</v>
      </c>
      <c r="H450" s="2">
        <v>0</v>
      </c>
      <c r="I450" s="2">
        <v>0</v>
      </c>
      <c r="J450" s="2">
        <v>36</v>
      </c>
      <c r="K450" s="2">
        <v>1</v>
      </c>
      <c r="L450" s="2">
        <v>0</v>
      </c>
      <c r="M450" s="2">
        <v>1</v>
      </c>
      <c r="N450" s="2">
        <v>1</v>
      </c>
      <c r="O450" s="2">
        <v>1</v>
      </c>
      <c r="P450" s="2">
        <v>1</v>
      </c>
      <c r="Q450" s="2">
        <v>0</v>
      </c>
      <c r="R450" s="2">
        <v>0</v>
      </c>
      <c r="S450" s="6"/>
      <c r="T450" s="7"/>
      <c r="U450" s="3"/>
    </row>
    <row r="451" spans="1:21">
      <c r="A451" s="2">
        <v>450</v>
      </c>
      <c r="B451" s="2">
        <v>0</v>
      </c>
      <c r="C451" s="2">
        <v>41000</v>
      </c>
      <c r="D451" s="2">
        <v>1</v>
      </c>
      <c r="E451" s="2">
        <v>0</v>
      </c>
      <c r="F451" s="2">
        <v>1</v>
      </c>
      <c r="G451" s="2">
        <v>1</v>
      </c>
      <c r="H451" s="2">
        <v>0</v>
      </c>
      <c r="I451" s="2">
        <v>0</v>
      </c>
      <c r="J451" s="2">
        <v>32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1</v>
      </c>
      <c r="Q451" s="2">
        <v>1</v>
      </c>
      <c r="R451" s="2">
        <v>0</v>
      </c>
      <c r="S451" s="6"/>
      <c r="T451" s="7"/>
      <c r="U451" s="3"/>
    </row>
    <row r="452" spans="1:21">
      <c r="A452" s="2">
        <v>451</v>
      </c>
      <c r="B452" s="2">
        <v>0</v>
      </c>
      <c r="C452" s="2">
        <v>4000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1</v>
      </c>
      <c r="P452" s="2">
        <v>1</v>
      </c>
      <c r="Q452" s="2">
        <v>0</v>
      </c>
      <c r="R452" s="2">
        <v>0</v>
      </c>
      <c r="S452" s="6"/>
      <c r="T452" s="7"/>
      <c r="U452" s="3"/>
    </row>
    <row r="453" spans="1:21">
      <c r="A453" s="2">
        <v>452</v>
      </c>
      <c r="B453" s="2">
        <v>1</v>
      </c>
      <c r="C453" s="2">
        <v>55000</v>
      </c>
      <c r="D453" s="2">
        <v>0</v>
      </c>
      <c r="E453" s="2">
        <v>1</v>
      </c>
      <c r="F453" s="2">
        <v>1</v>
      </c>
      <c r="G453" s="2">
        <v>0</v>
      </c>
      <c r="H453" s="2">
        <v>0</v>
      </c>
      <c r="I453" s="2">
        <v>0</v>
      </c>
      <c r="J453" s="2">
        <v>32</v>
      </c>
      <c r="K453" s="2">
        <v>0</v>
      </c>
      <c r="L453" s="2">
        <v>1</v>
      </c>
      <c r="M453" s="2">
        <v>1</v>
      </c>
      <c r="N453" s="2">
        <v>1</v>
      </c>
      <c r="O453" s="2">
        <v>0</v>
      </c>
      <c r="P453" s="2">
        <v>1</v>
      </c>
      <c r="Q453" s="2">
        <v>0</v>
      </c>
      <c r="R453" s="2">
        <v>0</v>
      </c>
      <c r="S453" s="6"/>
      <c r="T453" s="7"/>
      <c r="U453" s="3"/>
    </row>
    <row r="454" spans="1:21">
      <c r="A454" s="2">
        <v>453</v>
      </c>
      <c r="B454" s="2">
        <v>0</v>
      </c>
      <c r="C454" s="2">
        <v>8000</v>
      </c>
      <c r="D454" s="2">
        <v>1</v>
      </c>
      <c r="E454" s="2">
        <v>1</v>
      </c>
      <c r="F454" s="2">
        <v>0</v>
      </c>
      <c r="G454" s="2">
        <v>0</v>
      </c>
      <c r="H454" s="2">
        <v>0</v>
      </c>
      <c r="I454" s="2">
        <v>0</v>
      </c>
      <c r="J454" s="2">
        <v>10</v>
      </c>
      <c r="K454" s="2">
        <v>1</v>
      </c>
      <c r="L454" s="2">
        <v>1</v>
      </c>
      <c r="M454" s="2">
        <v>0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 s="6"/>
      <c r="T454" s="7"/>
      <c r="U454" s="3"/>
    </row>
    <row r="455" spans="1:21">
      <c r="A455" s="2">
        <v>454</v>
      </c>
      <c r="B455" s="2">
        <v>1</v>
      </c>
      <c r="C455" s="2">
        <v>75000</v>
      </c>
      <c r="D455" s="2">
        <v>1</v>
      </c>
      <c r="E455" s="2">
        <v>1</v>
      </c>
      <c r="F455" s="2">
        <v>0</v>
      </c>
      <c r="G455" s="2">
        <v>1</v>
      </c>
      <c r="H455" s="2">
        <v>0</v>
      </c>
      <c r="I455" s="2">
        <v>0</v>
      </c>
      <c r="J455" s="2">
        <v>7</v>
      </c>
      <c r="K455" s="2">
        <v>1</v>
      </c>
      <c r="L455" s="2">
        <v>0</v>
      </c>
      <c r="M455" s="2">
        <v>1</v>
      </c>
      <c r="N455" s="2">
        <v>1</v>
      </c>
      <c r="O455" s="2">
        <v>1</v>
      </c>
      <c r="P455" s="2">
        <v>1</v>
      </c>
      <c r="Q455" s="2">
        <v>0</v>
      </c>
      <c r="R455" s="2">
        <v>0</v>
      </c>
      <c r="S455" s="6"/>
      <c r="T455" s="7"/>
      <c r="U455" s="3"/>
    </row>
    <row r="456" spans="1:21">
      <c r="A456" s="2">
        <v>455</v>
      </c>
      <c r="B456" s="2">
        <v>0</v>
      </c>
      <c r="C456" s="2">
        <v>39000</v>
      </c>
      <c r="D456" s="2">
        <v>1</v>
      </c>
      <c r="E456" s="2">
        <v>1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1</v>
      </c>
      <c r="P456" s="2">
        <v>1</v>
      </c>
      <c r="Q456" s="2">
        <v>0</v>
      </c>
      <c r="R456" s="2">
        <v>0</v>
      </c>
      <c r="S456" s="6"/>
      <c r="T456" s="7"/>
      <c r="U456" s="3"/>
    </row>
    <row r="457" spans="1:21">
      <c r="A457" s="2">
        <v>456</v>
      </c>
      <c r="B457" s="2">
        <v>0</v>
      </c>
      <c r="C457" s="2">
        <v>24000</v>
      </c>
      <c r="D457" s="2">
        <v>1</v>
      </c>
      <c r="E457" s="2">
        <v>0</v>
      </c>
      <c r="F457" s="2">
        <v>0</v>
      </c>
      <c r="G457" s="2">
        <v>1</v>
      </c>
      <c r="H457" s="2">
        <v>0</v>
      </c>
      <c r="I457" s="2">
        <v>0</v>
      </c>
      <c r="J457" s="2">
        <v>3</v>
      </c>
      <c r="K457" s="2">
        <v>0</v>
      </c>
      <c r="L457" s="2">
        <v>0</v>
      </c>
      <c r="M457" s="2">
        <v>0</v>
      </c>
      <c r="N457" s="2">
        <v>0</v>
      </c>
      <c r="O457" s="2">
        <v>1</v>
      </c>
      <c r="P457" s="2">
        <v>1</v>
      </c>
      <c r="Q457" s="2">
        <v>0</v>
      </c>
      <c r="R457" s="2">
        <v>0</v>
      </c>
      <c r="S457" s="6"/>
      <c r="T457" s="7"/>
      <c r="U457" s="3"/>
    </row>
    <row r="458" spans="1:21">
      <c r="A458" s="2">
        <v>457</v>
      </c>
      <c r="B458" s="2">
        <v>0</v>
      </c>
      <c r="C458" s="2">
        <v>22000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45</v>
      </c>
      <c r="K458" s="2">
        <v>0</v>
      </c>
      <c r="L458" s="2">
        <v>0</v>
      </c>
      <c r="M458" s="2">
        <v>0</v>
      </c>
      <c r="N458" s="2">
        <v>1</v>
      </c>
      <c r="O458" s="2">
        <v>1</v>
      </c>
      <c r="P458" s="2">
        <v>1</v>
      </c>
      <c r="Q458" s="2">
        <v>0</v>
      </c>
      <c r="R458" s="2">
        <v>0</v>
      </c>
      <c r="S458" s="6"/>
      <c r="T458" s="7"/>
      <c r="U458" s="3"/>
    </row>
    <row r="459" spans="1:21">
      <c r="A459" s="2">
        <v>458</v>
      </c>
      <c r="B459" s="2">
        <v>0</v>
      </c>
      <c r="C459" s="2">
        <v>40000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6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1</v>
      </c>
      <c r="Q459" s="2">
        <v>0</v>
      </c>
      <c r="R459" s="2">
        <v>0</v>
      </c>
      <c r="S459" s="6"/>
      <c r="T459" s="7"/>
      <c r="U459" s="3"/>
    </row>
    <row r="460" spans="1:21">
      <c r="A460" s="2">
        <v>459</v>
      </c>
      <c r="B460" s="2">
        <v>0</v>
      </c>
      <c r="C460" s="2">
        <v>62000</v>
      </c>
      <c r="D460" s="2">
        <v>1</v>
      </c>
      <c r="E460" s="2">
        <v>0</v>
      </c>
      <c r="F460" s="2">
        <v>1</v>
      </c>
      <c r="G460" s="2">
        <v>1</v>
      </c>
      <c r="H460" s="2">
        <v>0</v>
      </c>
      <c r="I460" s="2">
        <v>0</v>
      </c>
      <c r="J460" s="2">
        <v>14</v>
      </c>
      <c r="K460" s="2">
        <v>0</v>
      </c>
      <c r="L460" s="2">
        <v>0</v>
      </c>
      <c r="M460" s="2">
        <v>1</v>
      </c>
      <c r="N460" s="2">
        <v>1</v>
      </c>
      <c r="O460" s="2">
        <v>1</v>
      </c>
      <c r="P460" s="2">
        <v>1</v>
      </c>
      <c r="Q460" s="2">
        <v>0</v>
      </c>
      <c r="R460" s="2">
        <v>0</v>
      </c>
      <c r="S460" s="6"/>
      <c r="T460" s="7"/>
      <c r="U460" s="3"/>
    </row>
    <row r="461" spans="1:21">
      <c r="A461" s="2">
        <v>460</v>
      </c>
      <c r="B461" s="2">
        <v>0</v>
      </c>
      <c r="C461" s="2">
        <v>1000</v>
      </c>
      <c r="D461" s="2">
        <v>1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17</v>
      </c>
      <c r="K461" s="2">
        <v>0</v>
      </c>
      <c r="L461" s="2">
        <v>1</v>
      </c>
      <c r="M461" s="2">
        <v>0</v>
      </c>
      <c r="N461" s="2">
        <v>1</v>
      </c>
      <c r="O461" s="2">
        <v>0</v>
      </c>
      <c r="P461" s="2">
        <v>1</v>
      </c>
      <c r="Q461" s="2">
        <v>0</v>
      </c>
      <c r="R461" s="2">
        <v>0</v>
      </c>
      <c r="S461" s="6"/>
      <c r="T461" s="7"/>
      <c r="U461" s="3"/>
    </row>
    <row r="462" spans="1:21">
      <c r="A462" s="2">
        <v>461</v>
      </c>
      <c r="B462" s="2">
        <v>0</v>
      </c>
      <c r="C462" s="2">
        <v>38000</v>
      </c>
      <c r="D462" s="2">
        <v>1</v>
      </c>
      <c r="E462" s="2">
        <v>1</v>
      </c>
      <c r="F462" s="2">
        <v>0</v>
      </c>
      <c r="G462" s="2">
        <v>1</v>
      </c>
      <c r="H462" s="2">
        <v>0</v>
      </c>
      <c r="I462" s="2">
        <v>0</v>
      </c>
      <c r="J462" s="2">
        <v>26</v>
      </c>
      <c r="K462" s="2">
        <v>1</v>
      </c>
      <c r="L462" s="2">
        <v>0</v>
      </c>
      <c r="M462" s="2">
        <v>1</v>
      </c>
      <c r="N462" s="2">
        <v>1</v>
      </c>
      <c r="O462" s="2">
        <v>1</v>
      </c>
      <c r="P462" s="2">
        <v>1</v>
      </c>
      <c r="Q462" s="2">
        <v>0</v>
      </c>
      <c r="R462" s="2">
        <v>0</v>
      </c>
      <c r="S462" s="6"/>
      <c r="T462" s="7"/>
      <c r="U462" s="3"/>
    </row>
    <row r="463" spans="1:21">
      <c r="A463" s="2">
        <v>462</v>
      </c>
      <c r="B463" s="2">
        <v>0</v>
      </c>
      <c r="C463" s="2">
        <v>19000</v>
      </c>
      <c r="D463" s="2">
        <v>1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19</v>
      </c>
      <c r="K463" s="2">
        <v>0</v>
      </c>
      <c r="L463" s="2">
        <v>1</v>
      </c>
      <c r="M463" s="2">
        <v>0</v>
      </c>
      <c r="N463" s="2">
        <v>0</v>
      </c>
      <c r="O463" s="2">
        <v>0</v>
      </c>
      <c r="P463" s="2">
        <v>1</v>
      </c>
      <c r="Q463" s="2">
        <v>0</v>
      </c>
      <c r="R463" s="2">
        <v>0</v>
      </c>
      <c r="S463" s="6"/>
      <c r="T463" s="7"/>
      <c r="U463" s="3"/>
    </row>
    <row r="464" spans="1:21">
      <c r="A464" s="2">
        <v>463</v>
      </c>
      <c r="B464" s="2">
        <v>0</v>
      </c>
      <c r="C464" s="2">
        <v>15000</v>
      </c>
      <c r="D464" s="2">
        <v>0</v>
      </c>
      <c r="E464" s="2">
        <v>0</v>
      </c>
      <c r="F464" s="2">
        <v>0</v>
      </c>
      <c r="G464" s="2">
        <v>1</v>
      </c>
      <c r="H464" s="2">
        <v>0</v>
      </c>
      <c r="I464" s="2">
        <v>0</v>
      </c>
      <c r="J464" s="2">
        <v>20</v>
      </c>
      <c r="K464" s="2">
        <v>0</v>
      </c>
      <c r="L464" s="2">
        <v>1</v>
      </c>
      <c r="M464" s="2">
        <v>0</v>
      </c>
      <c r="N464" s="2">
        <v>0</v>
      </c>
      <c r="O464" s="2">
        <v>1</v>
      </c>
      <c r="P464" s="2">
        <v>1</v>
      </c>
      <c r="Q464" s="2">
        <v>1</v>
      </c>
      <c r="R464" s="2">
        <v>0</v>
      </c>
      <c r="S464" s="6"/>
      <c r="T464" s="7"/>
      <c r="U464" s="3"/>
    </row>
    <row r="465" spans="1:21">
      <c r="A465" s="2">
        <v>464</v>
      </c>
      <c r="B465" s="2">
        <v>0</v>
      </c>
      <c r="C465" s="2">
        <v>4000</v>
      </c>
      <c r="D465" s="2">
        <v>1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12</v>
      </c>
      <c r="K465" s="2">
        <v>0</v>
      </c>
      <c r="L465" s="2">
        <v>1</v>
      </c>
      <c r="M465" s="2">
        <v>0</v>
      </c>
      <c r="N465" s="2">
        <v>1</v>
      </c>
      <c r="O465" s="2">
        <v>0</v>
      </c>
      <c r="P465" s="2">
        <v>1</v>
      </c>
      <c r="Q465" s="2">
        <v>0</v>
      </c>
      <c r="R465" s="2">
        <v>0</v>
      </c>
      <c r="S465" s="6"/>
      <c r="T465" s="7"/>
      <c r="U465" s="3"/>
    </row>
    <row r="466" spans="1:21">
      <c r="A466" s="2">
        <v>465</v>
      </c>
      <c r="B466" s="2">
        <v>0</v>
      </c>
      <c r="C466" s="2">
        <v>11000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4</v>
      </c>
      <c r="K466" s="2">
        <v>0</v>
      </c>
      <c r="L466" s="2">
        <v>0</v>
      </c>
      <c r="M466" s="2">
        <v>0</v>
      </c>
      <c r="N466" s="2">
        <v>1</v>
      </c>
      <c r="O466" s="2">
        <v>1</v>
      </c>
      <c r="P466" s="2">
        <v>1</v>
      </c>
      <c r="Q466" s="2">
        <v>0</v>
      </c>
      <c r="R466" s="2">
        <v>0</v>
      </c>
      <c r="S466" s="6"/>
      <c r="T466" s="7"/>
      <c r="U466" s="3"/>
    </row>
    <row r="467" spans="1:21">
      <c r="A467" s="2">
        <v>466</v>
      </c>
      <c r="B467" s="2">
        <v>0</v>
      </c>
      <c r="C467" s="2">
        <v>30000</v>
      </c>
      <c r="D467" s="2">
        <v>0</v>
      </c>
      <c r="E467" s="2">
        <v>0</v>
      </c>
      <c r="F467" s="2">
        <v>1</v>
      </c>
      <c r="G467" s="2">
        <v>0</v>
      </c>
      <c r="H467" s="2">
        <v>0</v>
      </c>
      <c r="I467" s="2">
        <v>0</v>
      </c>
      <c r="J467" s="2">
        <v>9</v>
      </c>
      <c r="K467" s="2">
        <v>0</v>
      </c>
      <c r="L467" s="2">
        <v>0</v>
      </c>
      <c r="M467" s="2">
        <v>0</v>
      </c>
      <c r="N467" s="2">
        <v>0</v>
      </c>
      <c r="O467" s="2">
        <v>1</v>
      </c>
      <c r="P467" s="2">
        <v>1</v>
      </c>
      <c r="Q467" s="2">
        <v>0</v>
      </c>
      <c r="R467" s="2">
        <v>0</v>
      </c>
      <c r="S467" s="6"/>
      <c r="T467" s="7"/>
      <c r="U467" s="3"/>
    </row>
    <row r="468" spans="1:21">
      <c r="A468" s="2">
        <v>467</v>
      </c>
      <c r="B468" s="2">
        <v>0</v>
      </c>
      <c r="C468" s="2">
        <v>15000</v>
      </c>
      <c r="D468" s="2">
        <v>1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41</v>
      </c>
      <c r="K468" s="2">
        <v>0</v>
      </c>
      <c r="L468" s="2">
        <v>0</v>
      </c>
      <c r="M468" s="2">
        <v>0</v>
      </c>
      <c r="N468" s="2">
        <v>1</v>
      </c>
      <c r="O468" s="2">
        <v>1</v>
      </c>
      <c r="P468" s="2">
        <v>1</v>
      </c>
      <c r="Q468" s="2">
        <v>0</v>
      </c>
      <c r="R468" s="2">
        <v>0</v>
      </c>
      <c r="S468" s="6"/>
      <c r="T468" s="7"/>
      <c r="U468" s="3"/>
    </row>
    <row r="469" spans="1:21">
      <c r="A469" s="2">
        <v>468</v>
      </c>
      <c r="B469" s="2">
        <v>0</v>
      </c>
      <c r="C469" s="2">
        <v>33000</v>
      </c>
      <c r="D469" s="2">
        <v>0</v>
      </c>
      <c r="E469" s="2">
        <v>1</v>
      </c>
      <c r="F469" s="2">
        <v>1</v>
      </c>
      <c r="G469" s="2">
        <v>0</v>
      </c>
      <c r="H469" s="2">
        <v>0</v>
      </c>
      <c r="I469" s="2">
        <v>0</v>
      </c>
      <c r="J469" s="2">
        <v>3</v>
      </c>
      <c r="K469" s="2">
        <v>0</v>
      </c>
      <c r="L469" s="2">
        <v>1</v>
      </c>
      <c r="M469" s="2">
        <v>0</v>
      </c>
      <c r="N469" s="2">
        <v>1</v>
      </c>
      <c r="O469" s="2">
        <v>1</v>
      </c>
      <c r="P469" s="2">
        <v>1</v>
      </c>
      <c r="Q469" s="2">
        <v>0</v>
      </c>
      <c r="R469" s="2">
        <v>0</v>
      </c>
      <c r="S469" s="6"/>
      <c r="T469" s="7"/>
      <c r="U469" s="3"/>
    </row>
    <row r="470" spans="1:21">
      <c r="A470" s="2">
        <v>469</v>
      </c>
      <c r="B470" s="2">
        <v>0</v>
      </c>
      <c r="C470" s="2">
        <v>45000</v>
      </c>
      <c r="D470" s="2">
        <v>0</v>
      </c>
      <c r="E470" s="2">
        <v>0</v>
      </c>
      <c r="F470" s="2">
        <v>1</v>
      </c>
      <c r="G470" s="2">
        <v>1</v>
      </c>
      <c r="H470" s="2">
        <v>0</v>
      </c>
      <c r="I470" s="2">
        <v>0</v>
      </c>
      <c r="J470" s="2">
        <v>4</v>
      </c>
      <c r="K470" s="2">
        <v>0</v>
      </c>
      <c r="L470" s="2">
        <v>0</v>
      </c>
      <c r="M470" s="2">
        <v>0</v>
      </c>
      <c r="N470" s="2">
        <v>0</v>
      </c>
      <c r="O470" s="2">
        <v>1</v>
      </c>
      <c r="P470" s="2">
        <v>1</v>
      </c>
      <c r="Q470" s="2">
        <v>0</v>
      </c>
      <c r="R470" s="2">
        <v>0</v>
      </c>
      <c r="S470" s="6"/>
      <c r="T470" s="7"/>
      <c r="U470" s="3"/>
    </row>
    <row r="471" spans="1:21">
      <c r="A471" s="2">
        <v>470</v>
      </c>
      <c r="B471" s="2">
        <v>0</v>
      </c>
      <c r="C471" s="2">
        <v>36000</v>
      </c>
      <c r="D471" s="2">
        <v>1</v>
      </c>
      <c r="E471" s="2">
        <v>0</v>
      </c>
      <c r="F471" s="2">
        <v>0</v>
      </c>
      <c r="G471" s="2">
        <v>1</v>
      </c>
      <c r="H471" s="2">
        <v>0</v>
      </c>
      <c r="I471" s="2">
        <v>0</v>
      </c>
      <c r="J471" s="2">
        <v>6</v>
      </c>
      <c r="K471" s="2">
        <v>0</v>
      </c>
      <c r="L471" s="2">
        <v>0</v>
      </c>
      <c r="M471" s="2">
        <v>0</v>
      </c>
      <c r="N471" s="2">
        <v>1</v>
      </c>
      <c r="O471" s="2">
        <v>1</v>
      </c>
      <c r="P471" s="2">
        <v>1</v>
      </c>
      <c r="Q471" s="2">
        <v>0</v>
      </c>
      <c r="R471" s="2">
        <v>0</v>
      </c>
      <c r="S471" s="6"/>
      <c r="T471" s="7"/>
      <c r="U471" s="3"/>
    </row>
    <row r="472" spans="1:21">
      <c r="A472" s="2">
        <v>471</v>
      </c>
      <c r="B472" s="2">
        <v>0</v>
      </c>
      <c r="C472" s="2">
        <v>11000</v>
      </c>
      <c r="D472" s="2">
        <v>1</v>
      </c>
      <c r="E472" s="2">
        <v>0</v>
      </c>
      <c r="F472" s="2">
        <v>0</v>
      </c>
      <c r="G472" s="2">
        <v>0</v>
      </c>
      <c r="H472" s="2">
        <v>1</v>
      </c>
      <c r="I472" s="2">
        <v>0</v>
      </c>
      <c r="J472" s="2">
        <v>58</v>
      </c>
      <c r="K472" s="2">
        <v>0</v>
      </c>
      <c r="L472" s="2">
        <v>1</v>
      </c>
      <c r="M472" s="2">
        <v>0</v>
      </c>
      <c r="N472" s="2">
        <v>1</v>
      </c>
      <c r="O472" s="2">
        <v>0</v>
      </c>
      <c r="P472" s="2">
        <v>1</v>
      </c>
      <c r="Q472" s="2">
        <v>0</v>
      </c>
      <c r="R472" s="2">
        <v>0</v>
      </c>
      <c r="S472" s="6"/>
      <c r="T472" s="7"/>
      <c r="U472" s="3"/>
    </row>
    <row r="473" spans="1:21">
      <c r="A473" s="2">
        <v>472</v>
      </c>
      <c r="B473" s="2">
        <v>0</v>
      </c>
      <c r="C473" s="2">
        <v>1000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15</v>
      </c>
      <c r="K473" s="2">
        <v>0</v>
      </c>
      <c r="L473" s="2">
        <v>1</v>
      </c>
      <c r="M473" s="2">
        <v>0</v>
      </c>
      <c r="N473" s="2">
        <v>1</v>
      </c>
      <c r="O473" s="2">
        <v>0</v>
      </c>
      <c r="P473" s="2">
        <v>1</v>
      </c>
      <c r="Q473" s="2">
        <v>0</v>
      </c>
      <c r="R473" s="2">
        <v>0</v>
      </c>
      <c r="S473" s="6"/>
      <c r="T473" s="7"/>
      <c r="U473" s="3"/>
    </row>
    <row r="474" spans="1:21">
      <c r="A474" s="2">
        <v>473</v>
      </c>
      <c r="B474" s="2">
        <v>1</v>
      </c>
      <c r="C474" s="2">
        <v>35000</v>
      </c>
      <c r="D474" s="2">
        <v>1</v>
      </c>
      <c r="E474" s="2">
        <v>1</v>
      </c>
      <c r="F474" s="2">
        <v>0</v>
      </c>
      <c r="G474" s="2">
        <v>0</v>
      </c>
      <c r="H474" s="2">
        <v>0</v>
      </c>
      <c r="I474" s="2">
        <v>0</v>
      </c>
      <c r="J474" s="2">
        <v>15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>
        <v>1</v>
      </c>
      <c r="Q474" s="2">
        <v>1</v>
      </c>
      <c r="R474" s="2">
        <v>0</v>
      </c>
      <c r="S474" s="6"/>
      <c r="T474" s="7"/>
      <c r="U474" s="3"/>
    </row>
    <row r="475" spans="1:21">
      <c r="A475" s="2">
        <v>474</v>
      </c>
      <c r="B475" s="2">
        <v>0</v>
      </c>
      <c r="C475" s="2">
        <v>13000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3</v>
      </c>
      <c r="K475" s="2">
        <v>0</v>
      </c>
      <c r="L475" s="2">
        <v>0</v>
      </c>
      <c r="M475" s="2">
        <v>0</v>
      </c>
      <c r="N475" s="2">
        <v>0</v>
      </c>
      <c r="O475" s="2">
        <v>1</v>
      </c>
      <c r="P475" s="2">
        <v>1</v>
      </c>
      <c r="Q475" s="2">
        <v>0</v>
      </c>
      <c r="R475" s="2">
        <v>0</v>
      </c>
      <c r="S475" s="6"/>
      <c r="T475" s="7"/>
      <c r="U475" s="3"/>
    </row>
    <row r="476" spans="1:21">
      <c r="A476" s="2">
        <v>475</v>
      </c>
      <c r="B476" s="2">
        <v>0</v>
      </c>
      <c r="C476" s="2">
        <v>35000</v>
      </c>
      <c r="D476" s="2">
        <v>1</v>
      </c>
      <c r="E476" s="2">
        <v>1</v>
      </c>
      <c r="F476" s="2">
        <v>1</v>
      </c>
      <c r="G476" s="2">
        <v>1</v>
      </c>
      <c r="H476" s="2">
        <v>0</v>
      </c>
      <c r="I476" s="2">
        <v>0</v>
      </c>
      <c r="J476" s="2">
        <v>0</v>
      </c>
      <c r="K476" s="2">
        <v>1</v>
      </c>
      <c r="L476" s="2">
        <v>0</v>
      </c>
      <c r="M476" s="2">
        <v>0</v>
      </c>
      <c r="N476" s="2">
        <v>0</v>
      </c>
      <c r="O476" s="2">
        <v>1</v>
      </c>
      <c r="P476" s="2">
        <v>1</v>
      </c>
      <c r="Q476" s="2">
        <v>0</v>
      </c>
      <c r="R476" s="2">
        <v>0</v>
      </c>
      <c r="S476" s="6"/>
      <c r="T476" s="7"/>
      <c r="U476" s="3"/>
    </row>
    <row r="477" spans="1:21">
      <c r="A477" s="2">
        <v>476</v>
      </c>
      <c r="B477" s="2">
        <v>0</v>
      </c>
      <c r="C477" s="2">
        <v>29000</v>
      </c>
      <c r="D477" s="2">
        <v>1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3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1</v>
      </c>
      <c r="Q477" s="2">
        <v>0</v>
      </c>
      <c r="R477" s="2">
        <v>0</v>
      </c>
      <c r="S477" s="6"/>
      <c r="T477" s="7"/>
      <c r="U477" s="3"/>
    </row>
    <row r="478" spans="1:21">
      <c r="A478" s="2">
        <v>477</v>
      </c>
      <c r="B478" s="2">
        <v>0</v>
      </c>
      <c r="C478" s="2">
        <v>49000</v>
      </c>
      <c r="D478" s="2">
        <v>1</v>
      </c>
      <c r="E478" s="2">
        <v>0</v>
      </c>
      <c r="F478" s="2">
        <v>1</v>
      </c>
      <c r="G478" s="2">
        <v>1</v>
      </c>
      <c r="H478" s="2">
        <v>0</v>
      </c>
      <c r="I478" s="2">
        <v>0</v>
      </c>
      <c r="J478" s="2">
        <v>45</v>
      </c>
      <c r="K478" s="2">
        <v>0</v>
      </c>
      <c r="L478" s="2">
        <v>0</v>
      </c>
      <c r="M478" s="2">
        <v>1</v>
      </c>
      <c r="N478" s="2">
        <v>1</v>
      </c>
      <c r="O478" s="2">
        <v>1</v>
      </c>
      <c r="P478" s="2">
        <v>1</v>
      </c>
      <c r="Q478" s="2">
        <v>1</v>
      </c>
      <c r="R478" s="2">
        <v>1</v>
      </c>
      <c r="S478" s="6"/>
      <c r="T478" s="7"/>
      <c r="U478" s="3"/>
    </row>
    <row r="479" spans="1:21">
      <c r="A479" s="2">
        <v>478</v>
      </c>
      <c r="B479" s="2">
        <v>0</v>
      </c>
      <c r="C479" s="2">
        <v>18000</v>
      </c>
      <c r="D479" s="2">
        <v>1</v>
      </c>
      <c r="E479" s="2">
        <v>0</v>
      </c>
      <c r="F479" s="2">
        <v>0</v>
      </c>
      <c r="G479" s="2">
        <v>1</v>
      </c>
      <c r="H479" s="2">
        <v>0</v>
      </c>
      <c r="I479" s="2">
        <v>0</v>
      </c>
      <c r="J479" s="2">
        <v>8</v>
      </c>
      <c r="K479" s="2">
        <v>0</v>
      </c>
      <c r="L479" s="2">
        <v>1</v>
      </c>
      <c r="M479" s="2">
        <v>0</v>
      </c>
      <c r="N479" s="2">
        <v>1</v>
      </c>
      <c r="O479" s="2">
        <v>0</v>
      </c>
      <c r="P479" s="2">
        <v>0</v>
      </c>
      <c r="Q479" s="2">
        <v>0</v>
      </c>
      <c r="R479" s="2">
        <v>0</v>
      </c>
      <c r="S479" s="6"/>
      <c r="T479" s="7"/>
      <c r="U479" s="3"/>
    </row>
    <row r="480" spans="1:21">
      <c r="A480" s="2">
        <v>479</v>
      </c>
      <c r="B480" s="2">
        <v>0</v>
      </c>
      <c r="C480" s="2">
        <v>39000</v>
      </c>
      <c r="D480" s="2">
        <v>1</v>
      </c>
      <c r="E480" s="2">
        <v>0</v>
      </c>
      <c r="F480" s="2">
        <v>0</v>
      </c>
      <c r="G480" s="2">
        <v>1</v>
      </c>
      <c r="H480" s="2">
        <v>0</v>
      </c>
      <c r="I480" s="2">
        <v>0</v>
      </c>
      <c r="J480" s="2">
        <v>4</v>
      </c>
      <c r="K480" s="2">
        <v>0</v>
      </c>
      <c r="L480" s="2">
        <v>0</v>
      </c>
      <c r="M480" s="2">
        <v>1</v>
      </c>
      <c r="N480" s="2">
        <v>1</v>
      </c>
      <c r="O480" s="2">
        <v>1</v>
      </c>
      <c r="P480" s="2">
        <v>1</v>
      </c>
      <c r="Q480" s="2">
        <v>0</v>
      </c>
      <c r="R480" s="2">
        <v>0</v>
      </c>
      <c r="S480" s="6"/>
      <c r="T480" s="7"/>
      <c r="U480" s="3"/>
    </row>
    <row r="481" spans="1:21">
      <c r="A481" s="2">
        <v>480</v>
      </c>
      <c r="B481" s="2">
        <v>0</v>
      </c>
      <c r="C481" s="2">
        <v>35000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9</v>
      </c>
      <c r="K481" s="2">
        <v>0</v>
      </c>
      <c r="L481" s="2">
        <v>0</v>
      </c>
      <c r="M481" s="2">
        <v>0</v>
      </c>
      <c r="N481" s="2">
        <v>0</v>
      </c>
      <c r="O481" s="2">
        <v>1</v>
      </c>
      <c r="P481" s="2">
        <v>1</v>
      </c>
      <c r="Q481" s="2">
        <v>0</v>
      </c>
      <c r="R481" s="2">
        <v>0</v>
      </c>
      <c r="S481" s="6"/>
      <c r="T481" s="7"/>
      <c r="U481" s="3"/>
    </row>
    <row r="482" spans="1:21">
      <c r="A482" s="2">
        <v>481</v>
      </c>
      <c r="B482" s="2">
        <v>1</v>
      </c>
      <c r="C482" s="2">
        <v>67000</v>
      </c>
      <c r="D482" s="2">
        <v>0</v>
      </c>
      <c r="E482" s="2">
        <v>1</v>
      </c>
      <c r="F482" s="2">
        <v>1</v>
      </c>
      <c r="G482" s="2">
        <v>0</v>
      </c>
      <c r="H482" s="2">
        <v>0</v>
      </c>
      <c r="I482" s="2">
        <v>0</v>
      </c>
      <c r="J482" s="2">
        <v>56</v>
      </c>
      <c r="K482" s="2">
        <v>1</v>
      </c>
      <c r="L482" s="2">
        <v>0</v>
      </c>
      <c r="M482" s="2">
        <v>1</v>
      </c>
      <c r="N482" s="2">
        <v>0</v>
      </c>
      <c r="O482" s="2">
        <v>1</v>
      </c>
      <c r="P482" s="2">
        <v>1</v>
      </c>
      <c r="Q482" s="2">
        <v>0</v>
      </c>
      <c r="R482" s="2">
        <v>1</v>
      </c>
      <c r="S482" s="6"/>
      <c r="T482" s="7"/>
      <c r="U482" s="3"/>
    </row>
    <row r="483" spans="1:21">
      <c r="A483" s="2">
        <v>482</v>
      </c>
      <c r="B483" s="2">
        <v>0</v>
      </c>
      <c r="C483" s="2">
        <v>9000</v>
      </c>
      <c r="D483" s="2">
        <v>1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1</v>
      </c>
      <c r="K483" s="2">
        <v>0</v>
      </c>
      <c r="L483" s="2">
        <v>1</v>
      </c>
      <c r="M483" s="2">
        <v>0</v>
      </c>
      <c r="N483" s="2">
        <v>1</v>
      </c>
      <c r="O483" s="2">
        <v>0</v>
      </c>
      <c r="P483" s="2">
        <v>1</v>
      </c>
      <c r="Q483" s="2">
        <v>0</v>
      </c>
      <c r="R483" s="2">
        <v>0</v>
      </c>
      <c r="S483" s="6"/>
      <c r="T483" s="7"/>
      <c r="U483" s="3"/>
    </row>
    <row r="484" spans="1:21">
      <c r="A484" s="2">
        <v>483</v>
      </c>
      <c r="B484" s="2">
        <v>0</v>
      </c>
      <c r="C484" s="2">
        <v>10000</v>
      </c>
      <c r="D484" s="2">
        <v>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9</v>
      </c>
      <c r="K484" s="2">
        <v>0</v>
      </c>
      <c r="L484" s="2">
        <v>1</v>
      </c>
      <c r="M484" s="2">
        <v>0</v>
      </c>
      <c r="N484" s="2">
        <v>1</v>
      </c>
      <c r="O484" s="2">
        <v>1</v>
      </c>
      <c r="P484" s="2">
        <v>1</v>
      </c>
      <c r="Q484" s="2">
        <v>0</v>
      </c>
      <c r="R484" s="2">
        <v>1</v>
      </c>
      <c r="S484" s="6"/>
      <c r="T484" s="7"/>
      <c r="U484" s="3"/>
    </row>
    <row r="485" spans="1:21">
      <c r="A485" s="2">
        <v>484</v>
      </c>
      <c r="B485" s="2">
        <v>0</v>
      </c>
      <c r="C485" s="2">
        <v>2000</v>
      </c>
      <c r="D485" s="2">
        <v>1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9</v>
      </c>
      <c r="K485" s="2">
        <v>0</v>
      </c>
      <c r="L485" s="2">
        <v>0</v>
      </c>
      <c r="M485" s="2">
        <v>0</v>
      </c>
      <c r="N485" s="2">
        <v>1</v>
      </c>
      <c r="O485" s="2">
        <v>1</v>
      </c>
      <c r="P485" s="2">
        <v>1</v>
      </c>
      <c r="Q485" s="2">
        <v>0</v>
      </c>
      <c r="R485" s="2">
        <v>0</v>
      </c>
      <c r="S485" s="6"/>
      <c r="T485" s="7"/>
      <c r="U485" s="3"/>
    </row>
    <row r="486" spans="1:21">
      <c r="A486" s="2">
        <v>485</v>
      </c>
      <c r="B486" s="2">
        <v>0</v>
      </c>
      <c r="C486" s="2">
        <v>25000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12</v>
      </c>
      <c r="K486" s="2">
        <v>0</v>
      </c>
      <c r="L486" s="2">
        <v>0</v>
      </c>
      <c r="M486" s="2">
        <v>0</v>
      </c>
      <c r="N486" s="2">
        <v>0</v>
      </c>
      <c r="O486" s="2">
        <v>1</v>
      </c>
      <c r="P486" s="2">
        <v>1</v>
      </c>
      <c r="Q486" s="2">
        <v>0</v>
      </c>
      <c r="R486" s="2">
        <v>0</v>
      </c>
      <c r="S486" s="6"/>
      <c r="T486" s="7"/>
      <c r="U486" s="3"/>
    </row>
    <row r="487" spans="1:21">
      <c r="A487" s="2">
        <v>486</v>
      </c>
      <c r="B487" s="2">
        <v>0</v>
      </c>
      <c r="C487" s="2">
        <v>21000</v>
      </c>
      <c r="D487" s="2">
        <v>0</v>
      </c>
      <c r="E487" s="2">
        <v>1</v>
      </c>
      <c r="F487" s="2">
        <v>0</v>
      </c>
      <c r="G487" s="2">
        <v>0</v>
      </c>
      <c r="H487" s="2">
        <v>0</v>
      </c>
      <c r="I487" s="2">
        <v>0</v>
      </c>
      <c r="J487" s="2">
        <v>3</v>
      </c>
      <c r="K487" s="2">
        <v>1</v>
      </c>
      <c r="L487" s="2">
        <v>0</v>
      </c>
      <c r="M487" s="2">
        <v>0</v>
      </c>
      <c r="N487" s="2">
        <v>0</v>
      </c>
      <c r="O487" s="2">
        <v>0</v>
      </c>
      <c r="P487" s="2">
        <v>1</v>
      </c>
      <c r="Q487" s="2">
        <v>0</v>
      </c>
      <c r="R487" s="2">
        <v>0</v>
      </c>
      <c r="S487" s="6"/>
      <c r="T487" s="7"/>
      <c r="U487" s="3"/>
    </row>
    <row r="488" spans="1:21">
      <c r="A488" s="2">
        <v>487</v>
      </c>
      <c r="B488" s="2">
        <v>0</v>
      </c>
      <c r="C488" s="2">
        <v>37000</v>
      </c>
      <c r="D488" s="2">
        <v>0</v>
      </c>
      <c r="E488" s="2">
        <v>0</v>
      </c>
      <c r="F488" s="2">
        <v>1</v>
      </c>
      <c r="G488" s="2">
        <v>1</v>
      </c>
      <c r="H488" s="2">
        <v>0</v>
      </c>
      <c r="I488" s="2">
        <v>0</v>
      </c>
      <c r="J488" s="2">
        <v>28</v>
      </c>
      <c r="K488" s="2">
        <v>0</v>
      </c>
      <c r="L488" s="2">
        <v>0</v>
      </c>
      <c r="M488" s="2">
        <v>0</v>
      </c>
      <c r="N488" s="2">
        <v>0</v>
      </c>
      <c r="O488" s="2">
        <v>1</v>
      </c>
      <c r="P488" s="2">
        <v>1</v>
      </c>
      <c r="Q488" s="2">
        <v>0</v>
      </c>
      <c r="R488" s="2">
        <v>0</v>
      </c>
      <c r="S488" s="6"/>
      <c r="T488" s="7"/>
      <c r="U488" s="3"/>
    </row>
    <row r="489" spans="1:21">
      <c r="A489" s="2">
        <v>488</v>
      </c>
      <c r="B489" s="2">
        <v>1</v>
      </c>
      <c r="C489" s="2">
        <v>42000</v>
      </c>
      <c r="D489" s="2">
        <v>1</v>
      </c>
      <c r="E489" s="2">
        <v>1</v>
      </c>
      <c r="F489" s="2">
        <v>1</v>
      </c>
      <c r="G489" s="2">
        <v>1</v>
      </c>
      <c r="H489" s="2">
        <v>0</v>
      </c>
      <c r="I489" s="2">
        <v>0</v>
      </c>
      <c r="J489" s="2">
        <v>54</v>
      </c>
      <c r="K489" s="2">
        <v>0</v>
      </c>
      <c r="L489" s="2">
        <v>0</v>
      </c>
      <c r="M489" s="2">
        <v>1</v>
      </c>
      <c r="N489" s="2">
        <v>1</v>
      </c>
      <c r="O489" s="2">
        <v>1</v>
      </c>
      <c r="P489" s="2">
        <v>1</v>
      </c>
      <c r="Q489" s="2">
        <v>0</v>
      </c>
      <c r="R489" s="2">
        <v>0</v>
      </c>
      <c r="S489" s="6"/>
      <c r="T489" s="7"/>
      <c r="U489" s="3"/>
    </row>
    <row r="490" spans="1:21">
      <c r="A490" s="2">
        <v>489</v>
      </c>
      <c r="B490" s="2">
        <v>1</v>
      </c>
      <c r="C490" s="2">
        <v>75000</v>
      </c>
      <c r="D490" s="2">
        <v>1</v>
      </c>
      <c r="E490" s="2">
        <v>1</v>
      </c>
      <c r="F490" s="2">
        <v>1</v>
      </c>
      <c r="G490" s="2">
        <v>0</v>
      </c>
      <c r="H490" s="2">
        <v>0</v>
      </c>
      <c r="I490" s="2">
        <v>0</v>
      </c>
      <c r="J490" s="2">
        <v>6</v>
      </c>
      <c r="K490" s="2">
        <v>0</v>
      </c>
      <c r="L490" s="2">
        <v>1</v>
      </c>
      <c r="M490" s="2">
        <v>1</v>
      </c>
      <c r="N490" s="2">
        <v>0</v>
      </c>
      <c r="O490" s="2">
        <v>1</v>
      </c>
      <c r="P490" s="2">
        <v>1</v>
      </c>
      <c r="Q490" s="2">
        <v>0</v>
      </c>
      <c r="R490" s="2">
        <v>0</v>
      </c>
      <c r="S490" s="6"/>
      <c r="T490" s="7"/>
      <c r="U490" s="3"/>
    </row>
    <row r="491" spans="1:21">
      <c r="A491" s="2">
        <v>490</v>
      </c>
      <c r="B491" s="2">
        <v>0</v>
      </c>
      <c r="C491" s="2">
        <v>12000</v>
      </c>
      <c r="D491" s="2">
        <v>0</v>
      </c>
      <c r="E491" s="2">
        <v>1</v>
      </c>
      <c r="F491" s="2">
        <v>1</v>
      </c>
      <c r="G491" s="2">
        <v>0</v>
      </c>
      <c r="H491" s="2">
        <v>0</v>
      </c>
      <c r="I491" s="2">
        <v>0</v>
      </c>
      <c r="J491" s="2">
        <v>4</v>
      </c>
      <c r="K491" s="2">
        <v>1</v>
      </c>
      <c r="L491" s="2">
        <v>1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6"/>
      <c r="T491" s="7"/>
      <c r="U491" s="3"/>
    </row>
    <row r="492" spans="1:21">
      <c r="A492" s="2">
        <v>491</v>
      </c>
      <c r="B492" s="2">
        <v>0</v>
      </c>
      <c r="C492" s="2">
        <v>20000</v>
      </c>
      <c r="D492" s="2">
        <v>0</v>
      </c>
      <c r="E492" s="2">
        <v>0</v>
      </c>
      <c r="F492" s="2">
        <v>0</v>
      </c>
      <c r="G492" s="2">
        <v>1</v>
      </c>
      <c r="H492" s="2">
        <v>0</v>
      </c>
      <c r="I492" s="2">
        <v>0</v>
      </c>
      <c r="J492" s="2">
        <v>2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>
        <v>1</v>
      </c>
      <c r="Q492" s="2">
        <v>0</v>
      </c>
      <c r="R492" s="2">
        <v>0</v>
      </c>
      <c r="S492" s="6"/>
      <c r="T492" s="7"/>
      <c r="U492" s="3"/>
    </row>
    <row r="493" spans="1:21">
      <c r="A493" s="2">
        <v>492</v>
      </c>
      <c r="B493" s="2">
        <v>0</v>
      </c>
      <c r="C493" s="2">
        <v>0</v>
      </c>
      <c r="D493" s="2">
        <v>1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16</v>
      </c>
      <c r="K493" s="2">
        <v>0</v>
      </c>
      <c r="L493" s="2">
        <v>1</v>
      </c>
      <c r="M493" s="2">
        <v>0</v>
      </c>
      <c r="N493" s="2">
        <v>0</v>
      </c>
      <c r="O493" s="2">
        <v>0</v>
      </c>
      <c r="P493" s="2">
        <v>1</v>
      </c>
      <c r="Q493" s="2">
        <v>0</v>
      </c>
      <c r="R493" s="2">
        <v>1</v>
      </c>
      <c r="S493" s="6"/>
      <c r="T493" s="7"/>
      <c r="U493" s="3"/>
    </row>
    <row r="494" spans="1:21">
      <c r="A494" s="2">
        <v>493</v>
      </c>
      <c r="B494" s="2">
        <v>1</v>
      </c>
      <c r="C494" s="2">
        <v>75000</v>
      </c>
      <c r="D494" s="2">
        <v>1</v>
      </c>
      <c r="E494" s="2">
        <v>1</v>
      </c>
      <c r="F494" s="2">
        <v>0</v>
      </c>
      <c r="G494" s="2">
        <v>0</v>
      </c>
      <c r="H494" s="2">
        <v>0</v>
      </c>
      <c r="I494" s="2">
        <v>0</v>
      </c>
      <c r="J494" s="2">
        <v>31</v>
      </c>
      <c r="K494" s="2">
        <v>1</v>
      </c>
      <c r="L494" s="2">
        <v>0</v>
      </c>
      <c r="M494" s="2">
        <v>1</v>
      </c>
      <c r="N494" s="2">
        <v>1</v>
      </c>
      <c r="O494" s="2">
        <v>1</v>
      </c>
      <c r="P494" s="2">
        <v>1</v>
      </c>
      <c r="Q494" s="2">
        <v>0</v>
      </c>
      <c r="R494" s="2">
        <v>1</v>
      </c>
      <c r="S494" s="6"/>
      <c r="T494" s="7"/>
      <c r="U494" s="3"/>
    </row>
    <row r="495" spans="1:21">
      <c r="A495" s="2">
        <v>494</v>
      </c>
      <c r="B495" s="2">
        <v>1</v>
      </c>
      <c r="C495" s="2">
        <v>75000</v>
      </c>
      <c r="D495" s="2">
        <v>0</v>
      </c>
      <c r="E495" s="2">
        <v>0</v>
      </c>
      <c r="F495" s="2">
        <v>0</v>
      </c>
      <c r="G495" s="2">
        <v>1</v>
      </c>
      <c r="H495" s="2">
        <v>0</v>
      </c>
      <c r="I495" s="2">
        <v>0</v>
      </c>
      <c r="J495" s="2">
        <v>2</v>
      </c>
      <c r="K495" s="2">
        <v>0</v>
      </c>
      <c r="L495" s="2">
        <v>0</v>
      </c>
      <c r="M495" s="2">
        <v>0</v>
      </c>
      <c r="N495" s="2">
        <v>1</v>
      </c>
      <c r="O495" s="2">
        <v>1</v>
      </c>
      <c r="P495" s="2">
        <v>1</v>
      </c>
      <c r="Q495" s="2">
        <v>0</v>
      </c>
      <c r="R495" s="2">
        <v>0</v>
      </c>
      <c r="S495" s="6"/>
      <c r="T495" s="7"/>
      <c r="U495" s="3"/>
    </row>
    <row r="496" spans="1:21">
      <c r="A496" s="2">
        <v>495</v>
      </c>
      <c r="B496" s="2">
        <v>0</v>
      </c>
      <c r="C496" s="2">
        <v>36000</v>
      </c>
      <c r="D496" s="2">
        <v>0</v>
      </c>
      <c r="E496" s="2">
        <v>1</v>
      </c>
      <c r="F496" s="2">
        <v>0</v>
      </c>
      <c r="G496" s="2">
        <v>0</v>
      </c>
      <c r="H496" s="2">
        <v>1</v>
      </c>
      <c r="I496" s="2">
        <v>0</v>
      </c>
      <c r="J496" s="2">
        <v>40</v>
      </c>
      <c r="K496" s="2">
        <v>0</v>
      </c>
      <c r="L496" s="2">
        <v>0</v>
      </c>
      <c r="M496" s="2">
        <v>1</v>
      </c>
      <c r="N496" s="2">
        <v>1</v>
      </c>
      <c r="O496" s="2">
        <v>0</v>
      </c>
      <c r="P496" s="2">
        <v>1</v>
      </c>
      <c r="Q496" s="2">
        <v>0</v>
      </c>
      <c r="R496" s="2">
        <v>0</v>
      </c>
      <c r="S496" s="6"/>
      <c r="T496" s="7"/>
      <c r="U496" s="3"/>
    </row>
    <row r="497" spans="1:21">
      <c r="A497" s="2">
        <v>496</v>
      </c>
      <c r="B497" s="2">
        <v>0</v>
      </c>
      <c r="C497" s="2">
        <v>5000</v>
      </c>
      <c r="D497" s="2">
        <v>1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13</v>
      </c>
      <c r="K497" s="2">
        <v>0</v>
      </c>
      <c r="L497" s="2">
        <v>0</v>
      </c>
      <c r="M497" s="2">
        <v>1</v>
      </c>
      <c r="N497" s="2">
        <v>1</v>
      </c>
      <c r="O497" s="2">
        <v>0</v>
      </c>
      <c r="P497" s="2">
        <v>1</v>
      </c>
      <c r="Q497" s="2">
        <v>0</v>
      </c>
      <c r="R497" s="2">
        <v>0</v>
      </c>
      <c r="S497" s="6"/>
      <c r="T497" s="7"/>
      <c r="U497" s="3"/>
    </row>
    <row r="498" spans="1:21">
      <c r="A498" s="2">
        <v>497</v>
      </c>
      <c r="B498" s="2">
        <v>0</v>
      </c>
      <c r="C498" s="2">
        <v>52000</v>
      </c>
      <c r="D498" s="2">
        <v>1</v>
      </c>
      <c r="E498" s="2">
        <v>0</v>
      </c>
      <c r="F498" s="2">
        <v>1</v>
      </c>
      <c r="G498" s="2">
        <v>0</v>
      </c>
      <c r="H498" s="2">
        <v>0</v>
      </c>
      <c r="I498" s="2">
        <v>0</v>
      </c>
      <c r="J498" s="2">
        <v>1</v>
      </c>
      <c r="K498" s="2">
        <v>0</v>
      </c>
      <c r="L498" s="2">
        <v>0</v>
      </c>
      <c r="M498" s="2">
        <v>0</v>
      </c>
      <c r="N498" s="2">
        <v>0</v>
      </c>
      <c r="O498" s="2">
        <v>1</v>
      </c>
      <c r="P498" s="2">
        <v>1</v>
      </c>
      <c r="Q498" s="2">
        <v>0</v>
      </c>
      <c r="R498" s="2">
        <v>0</v>
      </c>
      <c r="S498" s="6"/>
      <c r="T498" s="7"/>
      <c r="U498" s="3"/>
    </row>
    <row r="499" spans="1:21">
      <c r="A499" s="2">
        <v>498</v>
      </c>
      <c r="B499" s="2">
        <v>0</v>
      </c>
      <c r="C499" s="2">
        <v>65000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17</v>
      </c>
      <c r="K499" s="2">
        <v>0</v>
      </c>
      <c r="L499" s="2">
        <v>1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6"/>
      <c r="T499" s="7"/>
      <c r="U499" s="3"/>
    </row>
    <row r="500" spans="1:21">
      <c r="A500" s="2">
        <v>499</v>
      </c>
      <c r="B500" s="2">
        <v>0</v>
      </c>
      <c r="C500" s="2">
        <v>37000</v>
      </c>
      <c r="D500" s="2">
        <v>0</v>
      </c>
      <c r="E500" s="2">
        <v>0</v>
      </c>
      <c r="F500" s="2">
        <v>1</v>
      </c>
      <c r="G500" s="2">
        <v>0</v>
      </c>
      <c r="H500" s="2">
        <v>0</v>
      </c>
      <c r="I500" s="2">
        <v>0</v>
      </c>
      <c r="J500" s="2">
        <v>5</v>
      </c>
      <c r="K500" s="2">
        <v>0</v>
      </c>
      <c r="L500" s="2">
        <v>0</v>
      </c>
      <c r="M500" s="2">
        <v>0</v>
      </c>
      <c r="N500" s="2">
        <v>1</v>
      </c>
      <c r="O500" s="2">
        <v>1</v>
      </c>
      <c r="P500" s="2">
        <v>1</v>
      </c>
      <c r="Q500" s="2">
        <v>0</v>
      </c>
      <c r="R500" s="2">
        <v>0</v>
      </c>
      <c r="S500" s="6"/>
      <c r="T500" s="7"/>
      <c r="U500" s="3"/>
    </row>
    <row r="501" spans="1:21">
      <c r="A501" s="2">
        <v>500</v>
      </c>
      <c r="B501" s="2">
        <v>0</v>
      </c>
      <c r="C501" s="2">
        <v>55000</v>
      </c>
      <c r="D501" s="2">
        <v>1</v>
      </c>
      <c r="E501" s="2">
        <v>1</v>
      </c>
      <c r="F501" s="2">
        <v>1</v>
      </c>
      <c r="G501" s="2">
        <v>1</v>
      </c>
      <c r="H501" s="2">
        <v>0</v>
      </c>
      <c r="I501" s="2">
        <v>0</v>
      </c>
      <c r="J501" s="2">
        <v>8</v>
      </c>
      <c r="K501" s="2">
        <v>1</v>
      </c>
      <c r="L501" s="2">
        <v>1</v>
      </c>
      <c r="M501" s="2">
        <v>1</v>
      </c>
      <c r="N501" s="2">
        <v>1</v>
      </c>
      <c r="O501" s="2">
        <v>0</v>
      </c>
      <c r="P501" s="2">
        <v>1</v>
      </c>
      <c r="Q501" s="2">
        <v>0</v>
      </c>
      <c r="R501" s="2">
        <v>0</v>
      </c>
      <c r="S501" s="6"/>
      <c r="T501" s="7"/>
      <c r="U501" s="3"/>
    </row>
    <row r="502" spans="1:21">
      <c r="A502" s="2">
        <v>501</v>
      </c>
      <c r="B502" s="2">
        <v>0</v>
      </c>
      <c r="C502" s="2">
        <v>43000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19</v>
      </c>
      <c r="K502" s="2">
        <v>0</v>
      </c>
      <c r="L502" s="2">
        <v>1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6"/>
      <c r="T502" s="7"/>
      <c r="U502" s="3"/>
    </row>
    <row r="503" spans="1:21">
      <c r="A503" s="2">
        <v>502</v>
      </c>
      <c r="B503" s="2">
        <v>0</v>
      </c>
      <c r="C503" s="2">
        <v>45000</v>
      </c>
      <c r="D503" s="2">
        <v>1</v>
      </c>
      <c r="E503" s="2">
        <v>0</v>
      </c>
      <c r="F503" s="2">
        <v>1</v>
      </c>
      <c r="G503" s="2">
        <v>1</v>
      </c>
      <c r="H503" s="2">
        <v>0</v>
      </c>
      <c r="I503" s="2">
        <v>0</v>
      </c>
      <c r="J503" s="2">
        <v>7</v>
      </c>
      <c r="K503" s="2">
        <v>0</v>
      </c>
      <c r="L503" s="2">
        <v>0</v>
      </c>
      <c r="M503" s="2">
        <v>1</v>
      </c>
      <c r="N503" s="2">
        <v>1</v>
      </c>
      <c r="O503" s="2">
        <v>1</v>
      </c>
      <c r="P503" s="2">
        <v>1</v>
      </c>
      <c r="Q503" s="2">
        <v>0</v>
      </c>
      <c r="R503" s="2">
        <v>0</v>
      </c>
      <c r="S503" s="6"/>
      <c r="T503" s="7"/>
      <c r="U503" s="3"/>
    </row>
    <row r="504" spans="1:21">
      <c r="A504" s="2">
        <v>503</v>
      </c>
      <c r="B504" s="2">
        <v>0</v>
      </c>
      <c r="C504" s="2">
        <v>27000</v>
      </c>
      <c r="D504" s="2">
        <v>1</v>
      </c>
      <c r="E504" s="2">
        <v>0</v>
      </c>
      <c r="F504" s="2">
        <v>1</v>
      </c>
      <c r="G504" s="2">
        <v>0</v>
      </c>
      <c r="H504" s="2">
        <v>1</v>
      </c>
      <c r="I504" s="2">
        <v>0</v>
      </c>
      <c r="J504" s="2">
        <v>9</v>
      </c>
      <c r="K504" s="2">
        <v>0</v>
      </c>
      <c r="L504" s="2">
        <v>0</v>
      </c>
      <c r="M504" s="2">
        <v>0</v>
      </c>
      <c r="N504" s="2">
        <v>0</v>
      </c>
      <c r="O504" s="2">
        <v>1</v>
      </c>
      <c r="P504" s="2">
        <v>1</v>
      </c>
      <c r="Q504" s="2">
        <v>0</v>
      </c>
      <c r="R504" s="2">
        <v>0</v>
      </c>
      <c r="S504" s="6"/>
      <c r="T504" s="7"/>
      <c r="U504" s="3"/>
    </row>
    <row r="505" spans="1:21">
      <c r="A505" s="2">
        <v>504</v>
      </c>
      <c r="B505" s="2">
        <v>0</v>
      </c>
      <c r="C505" s="2">
        <v>2000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18</v>
      </c>
      <c r="K505" s="2">
        <v>0</v>
      </c>
      <c r="L505" s="2">
        <v>1</v>
      </c>
      <c r="M505" s="2">
        <v>0</v>
      </c>
      <c r="N505" s="2">
        <v>1</v>
      </c>
      <c r="O505" s="2">
        <v>1</v>
      </c>
      <c r="P505" s="2">
        <v>1</v>
      </c>
      <c r="Q505" s="2">
        <v>0</v>
      </c>
      <c r="R505" s="2">
        <v>0</v>
      </c>
      <c r="S505" s="6"/>
      <c r="T505" s="7"/>
      <c r="U505" s="3"/>
    </row>
    <row r="506" spans="1:21">
      <c r="A506" s="2">
        <v>505</v>
      </c>
      <c r="B506" s="2">
        <v>0</v>
      </c>
      <c r="C506" s="2">
        <v>8000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15</v>
      </c>
      <c r="K506" s="2">
        <v>0</v>
      </c>
      <c r="L506" s="2">
        <v>1</v>
      </c>
      <c r="M506" s="2">
        <v>0</v>
      </c>
      <c r="N506" s="2">
        <v>1</v>
      </c>
      <c r="O506" s="2">
        <v>1</v>
      </c>
      <c r="P506" s="2">
        <v>1</v>
      </c>
      <c r="Q506" s="2">
        <v>1</v>
      </c>
      <c r="R506" s="2">
        <v>0</v>
      </c>
      <c r="S506" s="6"/>
      <c r="T506" s="7"/>
      <c r="U506" s="3"/>
    </row>
    <row r="507" spans="1:21">
      <c r="A507" s="2">
        <v>506</v>
      </c>
      <c r="B507" s="2">
        <v>0</v>
      </c>
      <c r="C507" s="2">
        <v>6000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15</v>
      </c>
      <c r="K507" s="2">
        <v>0</v>
      </c>
      <c r="L507" s="2">
        <v>0</v>
      </c>
      <c r="M507" s="2">
        <v>0</v>
      </c>
      <c r="N507" s="2">
        <v>1</v>
      </c>
      <c r="O507" s="2">
        <v>1</v>
      </c>
      <c r="P507" s="2">
        <v>1</v>
      </c>
      <c r="Q507" s="2">
        <v>0</v>
      </c>
      <c r="R507" s="2">
        <v>0</v>
      </c>
      <c r="S507" s="6"/>
      <c r="T507" s="7"/>
      <c r="U507" s="3"/>
    </row>
    <row r="508" spans="1:21">
      <c r="A508" s="2">
        <v>507</v>
      </c>
      <c r="B508" s="2">
        <v>0</v>
      </c>
      <c r="C508" s="2">
        <v>6000</v>
      </c>
      <c r="D508" s="2">
        <v>1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2">
        <v>1</v>
      </c>
      <c r="K508" s="2">
        <v>1</v>
      </c>
      <c r="L508" s="2">
        <v>0</v>
      </c>
      <c r="M508" s="2">
        <v>1</v>
      </c>
      <c r="N508" s="2">
        <v>1</v>
      </c>
      <c r="O508" s="2">
        <v>0</v>
      </c>
      <c r="P508" s="2">
        <v>1</v>
      </c>
      <c r="Q508" s="2">
        <v>0</v>
      </c>
      <c r="R508" s="2">
        <v>0</v>
      </c>
      <c r="S508" s="6"/>
      <c r="T508" s="7"/>
      <c r="U508" s="3"/>
    </row>
    <row r="509" spans="1:21">
      <c r="A509" s="2">
        <v>508</v>
      </c>
      <c r="B509" s="2">
        <v>1</v>
      </c>
      <c r="C509" s="2">
        <v>75000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5</v>
      </c>
      <c r="K509" s="2">
        <v>0</v>
      </c>
      <c r="L509" s="2">
        <v>1</v>
      </c>
      <c r="M509" s="2">
        <v>0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6"/>
      <c r="T509" s="7"/>
      <c r="U509" s="3"/>
    </row>
    <row r="510" spans="1:21">
      <c r="A510" s="2">
        <v>509</v>
      </c>
      <c r="B510" s="2">
        <v>0</v>
      </c>
      <c r="C510" s="2">
        <v>22000</v>
      </c>
      <c r="D510" s="2">
        <v>1</v>
      </c>
      <c r="E510" s="2">
        <v>1</v>
      </c>
      <c r="F510" s="2">
        <v>0</v>
      </c>
      <c r="G510" s="2">
        <v>1</v>
      </c>
      <c r="H510" s="2">
        <v>0</v>
      </c>
      <c r="I510" s="2">
        <v>0</v>
      </c>
      <c r="J510" s="2">
        <v>6</v>
      </c>
      <c r="K510" s="2">
        <v>0</v>
      </c>
      <c r="L510" s="2">
        <v>0</v>
      </c>
      <c r="M510" s="2">
        <v>1</v>
      </c>
      <c r="N510" s="2">
        <v>0</v>
      </c>
      <c r="O510" s="2">
        <v>1</v>
      </c>
      <c r="P510" s="2">
        <v>1</v>
      </c>
      <c r="Q510" s="2">
        <v>0</v>
      </c>
      <c r="R510" s="2">
        <v>0</v>
      </c>
      <c r="S510" s="6"/>
      <c r="T510" s="7"/>
      <c r="U510" s="3"/>
    </row>
    <row r="511" spans="1:21">
      <c r="A511" s="2">
        <v>510</v>
      </c>
      <c r="B511" s="2">
        <v>1</v>
      </c>
      <c r="C511" s="2">
        <v>66000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65</v>
      </c>
      <c r="K511" s="2">
        <v>0</v>
      </c>
      <c r="L511" s="2">
        <v>0</v>
      </c>
      <c r="M511" s="2">
        <v>1</v>
      </c>
      <c r="N511" s="2">
        <v>1</v>
      </c>
      <c r="O511" s="2">
        <v>1</v>
      </c>
      <c r="P511" s="2">
        <v>1</v>
      </c>
      <c r="Q511" s="2">
        <v>0</v>
      </c>
      <c r="R511" s="2">
        <v>0</v>
      </c>
      <c r="S511" s="6"/>
      <c r="T511" s="7"/>
      <c r="U511" s="3"/>
    </row>
    <row r="512" spans="1:21">
      <c r="A512" s="2">
        <v>511</v>
      </c>
      <c r="B512" s="2">
        <v>0</v>
      </c>
      <c r="C512" s="2">
        <v>54000</v>
      </c>
      <c r="D512" s="2">
        <v>0</v>
      </c>
      <c r="E512" s="2">
        <v>0</v>
      </c>
      <c r="F512" s="2">
        <v>0</v>
      </c>
      <c r="G512" s="2">
        <v>1</v>
      </c>
      <c r="H512" s="2">
        <v>0</v>
      </c>
      <c r="I512" s="2">
        <v>0</v>
      </c>
      <c r="J512" s="2">
        <v>15</v>
      </c>
      <c r="K512" s="2">
        <v>0</v>
      </c>
      <c r="L512" s="2">
        <v>0</v>
      </c>
      <c r="M512" s="2">
        <v>1</v>
      </c>
      <c r="N512" s="2">
        <v>1</v>
      </c>
      <c r="O512" s="2">
        <v>1</v>
      </c>
      <c r="P512" s="2">
        <v>1</v>
      </c>
      <c r="Q512" s="2">
        <v>0</v>
      </c>
      <c r="R512" s="2">
        <v>0</v>
      </c>
      <c r="S512" s="6"/>
      <c r="T512" s="7"/>
      <c r="U512" s="3"/>
    </row>
    <row r="513" spans="1:21">
      <c r="A513" s="2">
        <v>512</v>
      </c>
      <c r="B513" s="2">
        <v>1</v>
      </c>
      <c r="C513" s="2">
        <v>64000</v>
      </c>
      <c r="D513" s="2">
        <v>0</v>
      </c>
      <c r="E513" s="2">
        <v>1</v>
      </c>
      <c r="F513" s="2">
        <v>0</v>
      </c>
      <c r="G513" s="2">
        <v>1</v>
      </c>
      <c r="H513" s="2">
        <v>0</v>
      </c>
      <c r="I513" s="2">
        <v>0</v>
      </c>
      <c r="J513" s="2">
        <v>37</v>
      </c>
      <c r="K513" s="2">
        <v>0</v>
      </c>
      <c r="L513" s="2">
        <v>1</v>
      </c>
      <c r="M513" s="2">
        <v>1</v>
      </c>
      <c r="N513" s="2">
        <v>1</v>
      </c>
      <c r="O513" s="2">
        <v>1</v>
      </c>
      <c r="P513" s="2">
        <v>1</v>
      </c>
      <c r="Q513" s="2">
        <v>0</v>
      </c>
      <c r="R513" s="2">
        <v>0</v>
      </c>
      <c r="S513" s="6"/>
      <c r="T513" s="7"/>
      <c r="U513" s="3"/>
    </row>
    <row r="514" spans="1:21">
      <c r="A514" s="2">
        <v>513</v>
      </c>
      <c r="B514" s="2">
        <v>0</v>
      </c>
      <c r="C514" s="2">
        <v>0</v>
      </c>
      <c r="D514" s="2">
        <v>1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17</v>
      </c>
      <c r="K514" s="2">
        <v>0</v>
      </c>
      <c r="L514" s="2">
        <v>1</v>
      </c>
      <c r="M514" s="2">
        <v>0</v>
      </c>
      <c r="N514" s="2">
        <v>1</v>
      </c>
      <c r="O514" s="2">
        <v>1</v>
      </c>
      <c r="P514" s="2">
        <v>1</v>
      </c>
      <c r="Q514" s="2">
        <v>0</v>
      </c>
      <c r="R514" s="2">
        <v>0</v>
      </c>
      <c r="S514" s="6"/>
      <c r="T514" s="7"/>
      <c r="U514" s="3"/>
    </row>
    <row r="515" spans="1:21">
      <c r="A515" s="2">
        <v>514</v>
      </c>
      <c r="B515" s="2">
        <v>0</v>
      </c>
      <c r="C515" s="2">
        <v>65000</v>
      </c>
      <c r="D515" s="2">
        <v>0</v>
      </c>
      <c r="E515" s="2">
        <v>0</v>
      </c>
      <c r="F515" s="2">
        <v>1</v>
      </c>
      <c r="G515" s="2">
        <v>0</v>
      </c>
      <c r="H515" s="2">
        <v>1</v>
      </c>
      <c r="I515" s="2">
        <v>0</v>
      </c>
      <c r="J515" s="2">
        <v>29</v>
      </c>
      <c r="K515" s="2">
        <v>0</v>
      </c>
      <c r="L515" s="2">
        <v>0</v>
      </c>
      <c r="M515" s="2">
        <v>1</v>
      </c>
      <c r="N515" s="2">
        <v>1</v>
      </c>
      <c r="O515" s="2">
        <v>1</v>
      </c>
      <c r="P515" s="2">
        <v>1</v>
      </c>
      <c r="Q515" s="2">
        <v>0</v>
      </c>
      <c r="R515" s="2">
        <v>0</v>
      </c>
      <c r="S515" s="6"/>
      <c r="T515" s="7"/>
      <c r="U515" s="3"/>
    </row>
    <row r="516" spans="1:21">
      <c r="A516" s="2">
        <v>515</v>
      </c>
      <c r="B516" s="2">
        <v>1</v>
      </c>
      <c r="C516" s="2">
        <v>75000</v>
      </c>
      <c r="D516" s="2">
        <v>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5</v>
      </c>
      <c r="K516" s="2">
        <v>0</v>
      </c>
      <c r="L516" s="2">
        <v>0</v>
      </c>
      <c r="M516" s="2">
        <v>0</v>
      </c>
      <c r="N516" s="2">
        <v>1</v>
      </c>
      <c r="O516" s="2">
        <v>1</v>
      </c>
      <c r="P516" s="2">
        <v>1</v>
      </c>
      <c r="Q516" s="2">
        <v>0</v>
      </c>
      <c r="R516" s="2">
        <v>0</v>
      </c>
      <c r="S516" s="6"/>
      <c r="T516" s="7"/>
      <c r="U516" s="3"/>
    </row>
    <row r="517" spans="1:21">
      <c r="A517" s="2">
        <v>516</v>
      </c>
      <c r="B517" s="2">
        <v>1</v>
      </c>
      <c r="C517" s="2">
        <v>58000</v>
      </c>
      <c r="D517" s="2">
        <v>0</v>
      </c>
      <c r="E517" s="2">
        <v>1</v>
      </c>
      <c r="F517" s="2">
        <v>0</v>
      </c>
      <c r="G517" s="2">
        <v>0</v>
      </c>
      <c r="H517" s="2">
        <v>0</v>
      </c>
      <c r="I517" s="2">
        <v>0</v>
      </c>
      <c r="J517" s="2">
        <v>13</v>
      </c>
      <c r="K517" s="2">
        <v>1</v>
      </c>
      <c r="L517" s="2">
        <v>0</v>
      </c>
      <c r="M517" s="2">
        <v>1</v>
      </c>
      <c r="N517" s="2">
        <v>1</v>
      </c>
      <c r="O517" s="2">
        <v>1</v>
      </c>
      <c r="P517" s="2">
        <v>1</v>
      </c>
      <c r="Q517" s="2">
        <v>0</v>
      </c>
      <c r="R517" s="2">
        <v>0</v>
      </c>
      <c r="S517" s="6"/>
      <c r="T517" s="7"/>
      <c r="U517" s="3"/>
    </row>
    <row r="518" spans="1:21">
      <c r="A518" s="2">
        <v>517</v>
      </c>
      <c r="B518" s="2">
        <v>0</v>
      </c>
      <c r="C518" s="2">
        <v>41000</v>
      </c>
      <c r="D518" s="2">
        <v>1</v>
      </c>
      <c r="E518" s="2">
        <v>1</v>
      </c>
      <c r="F518" s="2">
        <v>0</v>
      </c>
      <c r="G518" s="2">
        <v>1</v>
      </c>
      <c r="H518" s="2">
        <v>0</v>
      </c>
      <c r="I518" s="2">
        <v>0</v>
      </c>
      <c r="J518" s="2">
        <v>17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>
        <v>1</v>
      </c>
      <c r="Q518" s="2">
        <v>0</v>
      </c>
      <c r="R518" s="2">
        <v>0</v>
      </c>
      <c r="S518" s="6"/>
      <c r="T518" s="7"/>
      <c r="U518" s="3"/>
    </row>
    <row r="519" spans="1:21">
      <c r="A519" s="2">
        <v>518</v>
      </c>
      <c r="B519" s="2">
        <v>0</v>
      </c>
      <c r="C519" s="2">
        <v>54000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17</v>
      </c>
      <c r="K519" s="2">
        <v>0</v>
      </c>
      <c r="L519" s="2">
        <v>0</v>
      </c>
      <c r="M519" s="2">
        <v>1</v>
      </c>
      <c r="N519" s="2">
        <v>1</v>
      </c>
      <c r="O519" s="2">
        <v>0</v>
      </c>
      <c r="P519" s="2">
        <v>1</v>
      </c>
      <c r="Q519" s="2">
        <v>0</v>
      </c>
      <c r="R519" s="2">
        <v>0</v>
      </c>
      <c r="S519" s="6"/>
      <c r="T519" s="7"/>
      <c r="U519" s="3"/>
    </row>
    <row r="520" spans="1:21">
      <c r="A520" s="2">
        <v>519</v>
      </c>
      <c r="B520" s="2">
        <v>0</v>
      </c>
      <c r="C520" s="2">
        <v>39000</v>
      </c>
      <c r="D520" s="2">
        <v>0</v>
      </c>
      <c r="E520" s="2">
        <v>1</v>
      </c>
      <c r="F520" s="2">
        <v>0</v>
      </c>
      <c r="G520" s="2">
        <v>0</v>
      </c>
      <c r="H520" s="2">
        <v>1</v>
      </c>
      <c r="I520" s="2">
        <v>0</v>
      </c>
      <c r="J520" s="2">
        <v>22</v>
      </c>
      <c r="K520" s="2">
        <v>0</v>
      </c>
      <c r="L520" s="2">
        <v>0</v>
      </c>
      <c r="M520" s="2">
        <v>1</v>
      </c>
      <c r="N520" s="2">
        <v>1</v>
      </c>
      <c r="O520" s="2">
        <v>0</v>
      </c>
      <c r="P520" s="2">
        <v>1</v>
      </c>
      <c r="Q520" s="2">
        <v>0</v>
      </c>
      <c r="R520" s="2">
        <v>0</v>
      </c>
      <c r="S520" s="6"/>
      <c r="T520" s="7"/>
      <c r="U520" s="3"/>
    </row>
    <row r="521" spans="1:21">
      <c r="A521" s="2">
        <v>520</v>
      </c>
      <c r="B521" s="2">
        <v>0</v>
      </c>
      <c r="C521" s="2">
        <v>6000</v>
      </c>
      <c r="D521" s="2">
        <v>1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14</v>
      </c>
      <c r="K521" s="2">
        <v>0</v>
      </c>
      <c r="L521" s="2">
        <v>1</v>
      </c>
      <c r="M521" s="2">
        <v>0</v>
      </c>
      <c r="N521" s="2">
        <v>1</v>
      </c>
      <c r="O521" s="2">
        <v>0</v>
      </c>
      <c r="P521" s="2">
        <v>0</v>
      </c>
      <c r="Q521" s="2">
        <v>0</v>
      </c>
      <c r="R521" s="2">
        <v>0</v>
      </c>
      <c r="S521" s="6"/>
      <c r="T521" s="7"/>
      <c r="U521" s="3"/>
    </row>
    <row r="522" spans="1:21">
      <c r="A522" s="2">
        <v>521</v>
      </c>
      <c r="B522" s="2">
        <v>0</v>
      </c>
      <c r="C522" s="2">
        <v>20000</v>
      </c>
      <c r="D522" s="2">
        <v>1</v>
      </c>
      <c r="E522" s="2">
        <v>1</v>
      </c>
      <c r="F522" s="2">
        <v>0</v>
      </c>
      <c r="G522" s="2">
        <v>0</v>
      </c>
      <c r="H522" s="2">
        <v>0</v>
      </c>
      <c r="I522" s="2">
        <v>0</v>
      </c>
      <c r="J522" s="2">
        <v>25</v>
      </c>
      <c r="K522" s="2">
        <v>1</v>
      </c>
      <c r="L522" s="2">
        <v>1</v>
      </c>
      <c r="M522" s="2">
        <v>0</v>
      </c>
      <c r="N522" s="2">
        <v>1</v>
      </c>
      <c r="O522" s="2">
        <v>0</v>
      </c>
      <c r="P522" s="2">
        <v>1</v>
      </c>
      <c r="Q522" s="2">
        <v>0</v>
      </c>
      <c r="R522" s="2">
        <v>0</v>
      </c>
      <c r="S522" s="6"/>
      <c r="T522" s="7"/>
      <c r="U522" s="3"/>
    </row>
    <row r="523" spans="1:21">
      <c r="A523" s="2">
        <v>522</v>
      </c>
      <c r="B523" s="2">
        <v>0</v>
      </c>
      <c r="C523" s="2">
        <v>5000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16</v>
      </c>
      <c r="K523" s="2">
        <v>0</v>
      </c>
      <c r="L523" s="2">
        <v>1</v>
      </c>
      <c r="M523" s="2">
        <v>0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6"/>
      <c r="T523" s="7"/>
      <c r="U523" s="3"/>
    </row>
    <row r="524" spans="1:21">
      <c r="A524" s="2">
        <v>523</v>
      </c>
      <c r="B524" s="2">
        <v>0</v>
      </c>
      <c r="C524" s="2">
        <v>28000</v>
      </c>
      <c r="D524" s="2">
        <v>1</v>
      </c>
      <c r="E524" s="2">
        <v>1</v>
      </c>
      <c r="F524" s="2">
        <v>0</v>
      </c>
      <c r="G524" s="2">
        <v>1</v>
      </c>
      <c r="H524" s="2">
        <v>0</v>
      </c>
      <c r="I524" s="2">
        <v>0</v>
      </c>
      <c r="J524" s="2">
        <v>21</v>
      </c>
      <c r="K524" s="2">
        <v>1</v>
      </c>
      <c r="L524" s="2">
        <v>0</v>
      </c>
      <c r="M524" s="2">
        <v>1</v>
      </c>
      <c r="N524" s="2">
        <v>1</v>
      </c>
      <c r="O524" s="2">
        <v>1</v>
      </c>
      <c r="P524" s="2">
        <v>1</v>
      </c>
      <c r="Q524" s="2">
        <v>0</v>
      </c>
      <c r="R524" s="2">
        <v>0</v>
      </c>
      <c r="S524" s="6"/>
      <c r="T524" s="7"/>
      <c r="U524" s="3"/>
    </row>
    <row r="525" spans="1:21">
      <c r="A525" s="2">
        <v>524</v>
      </c>
      <c r="B525" s="2">
        <v>0</v>
      </c>
      <c r="C525" s="2">
        <v>44000</v>
      </c>
      <c r="D525" s="2">
        <v>0</v>
      </c>
      <c r="E525" s="2">
        <v>1</v>
      </c>
      <c r="F525" s="2">
        <v>1</v>
      </c>
      <c r="G525" s="2">
        <v>0</v>
      </c>
      <c r="H525" s="2">
        <v>1</v>
      </c>
      <c r="I525" s="2">
        <v>0</v>
      </c>
      <c r="J525" s="2">
        <v>12</v>
      </c>
      <c r="K525" s="2">
        <v>0</v>
      </c>
      <c r="L525" s="2">
        <v>1</v>
      </c>
      <c r="M525" s="2">
        <v>1</v>
      </c>
      <c r="N525" s="2">
        <v>1</v>
      </c>
      <c r="O525" s="2">
        <v>1</v>
      </c>
      <c r="P525" s="2">
        <v>1</v>
      </c>
      <c r="Q525" s="2">
        <v>0</v>
      </c>
      <c r="R525" s="2">
        <v>1</v>
      </c>
      <c r="S525" s="6"/>
      <c r="T525" s="7"/>
      <c r="U525" s="3"/>
    </row>
    <row r="526" spans="1:21">
      <c r="A526" s="2">
        <v>525</v>
      </c>
      <c r="B526" s="2">
        <v>1</v>
      </c>
      <c r="C526" s="2">
        <v>70000</v>
      </c>
      <c r="D526" s="2">
        <v>1</v>
      </c>
      <c r="E526" s="2">
        <v>1</v>
      </c>
      <c r="F526" s="2">
        <v>0</v>
      </c>
      <c r="G526" s="2">
        <v>1</v>
      </c>
      <c r="H526" s="2">
        <v>0</v>
      </c>
      <c r="I526" s="2">
        <v>0</v>
      </c>
      <c r="J526" s="2">
        <v>9</v>
      </c>
      <c r="K526" s="2">
        <v>1</v>
      </c>
      <c r="L526" s="2">
        <v>0</v>
      </c>
      <c r="M526" s="2">
        <v>1</v>
      </c>
      <c r="N526" s="2">
        <v>1</v>
      </c>
      <c r="O526" s="2">
        <v>0</v>
      </c>
      <c r="P526" s="2">
        <v>1</v>
      </c>
      <c r="Q526" s="2">
        <v>0</v>
      </c>
      <c r="R526" s="2">
        <v>0</v>
      </c>
      <c r="S526" s="6"/>
      <c r="T526" s="7"/>
      <c r="U526" s="3"/>
    </row>
    <row r="527" spans="1:21">
      <c r="A527" s="2">
        <v>526</v>
      </c>
      <c r="B527" s="2">
        <v>1</v>
      </c>
      <c r="C527" s="2">
        <v>35000</v>
      </c>
      <c r="D527" s="2">
        <v>1</v>
      </c>
      <c r="E527" s="2">
        <v>1</v>
      </c>
      <c r="F527" s="2">
        <v>0</v>
      </c>
      <c r="G527" s="2">
        <v>1</v>
      </c>
      <c r="H527" s="2">
        <v>0</v>
      </c>
      <c r="I527" s="2">
        <v>0</v>
      </c>
      <c r="J527" s="2">
        <v>28</v>
      </c>
      <c r="K527" s="2">
        <v>1</v>
      </c>
      <c r="L527" s="2">
        <v>1</v>
      </c>
      <c r="M527" s="2">
        <v>0</v>
      </c>
      <c r="N527" s="2">
        <v>0</v>
      </c>
      <c r="O527" s="2">
        <v>0</v>
      </c>
      <c r="P527" s="2">
        <v>1</v>
      </c>
      <c r="Q527" s="2">
        <v>1</v>
      </c>
      <c r="R527" s="2">
        <v>0</v>
      </c>
      <c r="S527" s="6"/>
      <c r="T527" s="7"/>
      <c r="U527" s="3"/>
    </row>
    <row r="528" spans="1:21">
      <c r="A528" s="2">
        <v>527</v>
      </c>
      <c r="B528" s="2">
        <v>0</v>
      </c>
      <c r="C528" s="2">
        <v>18000</v>
      </c>
      <c r="D528" s="2">
        <v>1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11</v>
      </c>
      <c r="K528" s="2">
        <v>0</v>
      </c>
      <c r="L528" s="2">
        <v>0</v>
      </c>
      <c r="M528" s="2">
        <v>0</v>
      </c>
      <c r="N528" s="2">
        <v>1</v>
      </c>
      <c r="O528" s="2">
        <v>1</v>
      </c>
      <c r="P528" s="2">
        <v>1</v>
      </c>
      <c r="Q528" s="2">
        <v>0</v>
      </c>
      <c r="R528" s="2">
        <v>1</v>
      </c>
      <c r="S528" s="6"/>
      <c r="T528" s="7"/>
      <c r="U528" s="3"/>
    </row>
    <row r="529" spans="1:21">
      <c r="A529" s="2">
        <v>528</v>
      </c>
      <c r="B529" s="2">
        <v>0</v>
      </c>
      <c r="C529" s="2">
        <v>34000</v>
      </c>
      <c r="D529" s="2">
        <v>0</v>
      </c>
      <c r="E529" s="2">
        <v>0</v>
      </c>
      <c r="F529" s="2">
        <v>1</v>
      </c>
      <c r="G529" s="2">
        <v>0</v>
      </c>
      <c r="H529" s="2">
        <v>0</v>
      </c>
      <c r="I529" s="2">
        <v>0</v>
      </c>
      <c r="J529" s="2">
        <v>39</v>
      </c>
      <c r="K529" s="2">
        <v>0</v>
      </c>
      <c r="L529" s="2">
        <v>0</v>
      </c>
      <c r="M529" s="2">
        <v>1</v>
      </c>
      <c r="N529" s="2">
        <v>1</v>
      </c>
      <c r="O529" s="2">
        <v>0</v>
      </c>
      <c r="P529" s="2">
        <v>1</v>
      </c>
      <c r="Q529" s="2">
        <v>0</v>
      </c>
      <c r="R529" s="2">
        <v>1</v>
      </c>
      <c r="S529" s="6"/>
      <c r="T529" s="7"/>
      <c r="U529" s="3"/>
    </row>
    <row r="530" spans="1:21">
      <c r="A530" s="2">
        <v>529</v>
      </c>
      <c r="B530" s="2">
        <v>0</v>
      </c>
      <c r="C530" s="2">
        <v>17000</v>
      </c>
      <c r="D530" s="2">
        <v>1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10</v>
      </c>
      <c r="K530" s="2">
        <v>0</v>
      </c>
      <c r="L530" s="2">
        <v>0</v>
      </c>
      <c r="M530" s="2">
        <v>0</v>
      </c>
      <c r="N530" s="2">
        <v>0</v>
      </c>
      <c r="O530" s="2">
        <v>1</v>
      </c>
      <c r="P530" s="2">
        <v>1</v>
      </c>
      <c r="Q530" s="2">
        <v>0</v>
      </c>
      <c r="R530" s="2">
        <v>0</v>
      </c>
      <c r="S530" s="6"/>
      <c r="T530" s="7"/>
      <c r="U530" s="3"/>
    </row>
    <row r="531" spans="1:21">
      <c r="A531" s="2">
        <v>530</v>
      </c>
      <c r="B531" s="2">
        <v>0</v>
      </c>
      <c r="C531" s="2">
        <v>58000</v>
      </c>
      <c r="D531" s="2">
        <v>0</v>
      </c>
      <c r="E531" s="2">
        <v>0</v>
      </c>
      <c r="F531" s="2">
        <v>1</v>
      </c>
      <c r="G531" s="2">
        <v>1</v>
      </c>
      <c r="H531" s="2">
        <v>0</v>
      </c>
      <c r="I531" s="2">
        <v>0</v>
      </c>
      <c r="J531" s="2">
        <v>3</v>
      </c>
      <c r="K531" s="2">
        <v>0</v>
      </c>
      <c r="L531" s="2">
        <v>0</v>
      </c>
      <c r="M531" s="2">
        <v>0</v>
      </c>
      <c r="N531" s="2">
        <v>0</v>
      </c>
      <c r="O531" s="2">
        <v>1</v>
      </c>
      <c r="P531" s="2">
        <v>1</v>
      </c>
      <c r="Q531" s="2">
        <v>0</v>
      </c>
      <c r="R531" s="2">
        <v>0</v>
      </c>
      <c r="S531" s="6"/>
      <c r="T531" s="7"/>
      <c r="U531" s="3"/>
    </row>
    <row r="532" spans="1:21">
      <c r="A532" s="2">
        <v>531</v>
      </c>
      <c r="B532" s="2">
        <v>0</v>
      </c>
      <c r="C532" s="2">
        <v>70000</v>
      </c>
      <c r="D532" s="2">
        <v>1</v>
      </c>
      <c r="E532" s="2">
        <v>1</v>
      </c>
      <c r="F532" s="2">
        <v>0</v>
      </c>
      <c r="G532" s="2">
        <v>0</v>
      </c>
      <c r="H532" s="2">
        <v>0</v>
      </c>
      <c r="I532" s="2">
        <v>0</v>
      </c>
      <c r="J532" s="2">
        <v>12</v>
      </c>
      <c r="K532" s="2">
        <v>1</v>
      </c>
      <c r="L532" s="2">
        <v>0</v>
      </c>
      <c r="M532" s="2">
        <v>1</v>
      </c>
      <c r="N532" s="2">
        <v>1</v>
      </c>
      <c r="O532" s="2">
        <v>0</v>
      </c>
      <c r="P532" s="2">
        <v>1</v>
      </c>
      <c r="Q532" s="2">
        <v>0</v>
      </c>
      <c r="R532" s="2">
        <v>1</v>
      </c>
      <c r="S532" s="6"/>
      <c r="T532" s="7"/>
      <c r="U532" s="3"/>
    </row>
    <row r="533" spans="1:21">
      <c r="A533" s="2">
        <v>532</v>
      </c>
      <c r="B533" s="2">
        <v>0</v>
      </c>
      <c r="C533" s="2">
        <v>54000</v>
      </c>
      <c r="D533" s="2">
        <v>0</v>
      </c>
      <c r="E533" s="2">
        <v>0</v>
      </c>
      <c r="F533" s="2">
        <v>0</v>
      </c>
      <c r="G533" s="2">
        <v>1</v>
      </c>
      <c r="H533" s="2">
        <v>0</v>
      </c>
      <c r="I533" s="2">
        <v>0</v>
      </c>
      <c r="J533" s="2">
        <v>1</v>
      </c>
      <c r="K533" s="2">
        <v>0</v>
      </c>
      <c r="L533" s="2">
        <v>0</v>
      </c>
      <c r="M533" s="2">
        <v>0</v>
      </c>
      <c r="N533" s="2">
        <v>0</v>
      </c>
      <c r="O533" s="2">
        <v>1</v>
      </c>
      <c r="P533" s="2">
        <v>1</v>
      </c>
      <c r="Q533" s="2">
        <v>0</v>
      </c>
      <c r="R533" s="2">
        <v>0</v>
      </c>
      <c r="S533" s="6"/>
      <c r="T533" s="7"/>
      <c r="U533" s="3"/>
    </row>
    <row r="534" spans="1:21">
      <c r="A534" s="2">
        <v>533</v>
      </c>
      <c r="B534" s="2">
        <v>0</v>
      </c>
      <c r="C534" s="2">
        <v>49000</v>
      </c>
      <c r="D534" s="2">
        <v>0</v>
      </c>
      <c r="E534" s="2">
        <v>0</v>
      </c>
      <c r="F534" s="2">
        <v>0</v>
      </c>
      <c r="G534" s="2">
        <v>1</v>
      </c>
      <c r="H534" s="2">
        <v>0</v>
      </c>
      <c r="I534" s="2">
        <v>0</v>
      </c>
      <c r="J534" s="2">
        <v>3</v>
      </c>
      <c r="K534" s="2">
        <v>0</v>
      </c>
      <c r="L534" s="2">
        <v>0</v>
      </c>
      <c r="M534" s="2">
        <v>0</v>
      </c>
      <c r="N534" s="2">
        <v>1</v>
      </c>
      <c r="O534" s="2">
        <v>1</v>
      </c>
      <c r="P534" s="2">
        <v>1</v>
      </c>
      <c r="Q534" s="2">
        <v>0</v>
      </c>
      <c r="R534" s="2">
        <v>0</v>
      </c>
      <c r="S534" s="6"/>
      <c r="T534" s="7"/>
      <c r="U534" s="3"/>
    </row>
    <row r="535" spans="1:21">
      <c r="A535" s="2">
        <v>534</v>
      </c>
      <c r="B535" s="2">
        <v>0</v>
      </c>
      <c r="C535" s="2">
        <v>5000</v>
      </c>
      <c r="D535" s="2">
        <v>1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2</v>
      </c>
      <c r="K535" s="2">
        <v>1</v>
      </c>
      <c r="L535" s="2">
        <v>0</v>
      </c>
      <c r="M535" s="2">
        <v>0</v>
      </c>
      <c r="N535" s="2">
        <v>1</v>
      </c>
      <c r="O535" s="2">
        <v>0</v>
      </c>
      <c r="P535" s="2">
        <v>1</v>
      </c>
      <c r="Q535" s="2">
        <v>0</v>
      </c>
      <c r="R535" s="2">
        <v>0</v>
      </c>
      <c r="S535" s="6"/>
      <c r="T535" s="7"/>
      <c r="U535" s="3"/>
    </row>
    <row r="536" spans="1:21">
      <c r="A536" s="2">
        <v>535</v>
      </c>
      <c r="B536" s="2">
        <v>0</v>
      </c>
      <c r="C536" s="2">
        <v>17000</v>
      </c>
      <c r="D536" s="2">
        <v>0</v>
      </c>
      <c r="E536" s="2">
        <v>0</v>
      </c>
      <c r="F536" s="2">
        <v>1</v>
      </c>
      <c r="G536" s="2">
        <v>0</v>
      </c>
      <c r="H536" s="2">
        <v>0</v>
      </c>
      <c r="I536" s="2">
        <v>0</v>
      </c>
      <c r="J536" s="2">
        <v>5</v>
      </c>
      <c r="K536" s="2">
        <v>0</v>
      </c>
      <c r="L536" s="2">
        <v>0</v>
      </c>
      <c r="M536" s="2">
        <v>0</v>
      </c>
      <c r="N536" s="2">
        <v>1</v>
      </c>
      <c r="O536" s="2">
        <v>1</v>
      </c>
      <c r="P536" s="2">
        <v>1</v>
      </c>
      <c r="Q536" s="2">
        <v>0</v>
      </c>
      <c r="R536" s="2">
        <v>0</v>
      </c>
      <c r="S536" s="6"/>
      <c r="T536" s="7"/>
      <c r="U536" s="3"/>
    </row>
    <row r="537" spans="1:21">
      <c r="A537" s="2">
        <v>536</v>
      </c>
      <c r="B537" s="2">
        <v>1</v>
      </c>
      <c r="C537" s="2">
        <v>64000</v>
      </c>
      <c r="D537" s="2">
        <v>0</v>
      </c>
      <c r="E537" s="2">
        <v>1</v>
      </c>
      <c r="F537" s="2">
        <v>1</v>
      </c>
      <c r="G537" s="2">
        <v>0</v>
      </c>
      <c r="H537" s="2">
        <v>1</v>
      </c>
      <c r="I537" s="2">
        <v>0</v>
      </c>
      <c r="J537" s="2">
        <v>72</v>
      </c>
      <c r="K537" s="2">
        <v>0</v>
      </c>
      <c r="L537" s="2">
        <v>0</v>
      </c>
      <c r="M537" s="2">
        <v>1</v>
      </c>
      <c r="N537" s="2">
        <v>1</v>
      </c>
      <c r="O537" s="2">
        <v>1</v>
      </c>
      <c r="P537" s="2">
        <v>1</v>
      </c>
      <c r="Q537" s="2">
        <v>0</v>
      </c>
      <c r="R537" s="2">
        <v>0</v>
      </c>
      <c r="S537" s="6"/>
      <c r="T537" s="7"/>
      <c r="U537" s="3"/>
    </row>
    <row r="538" spans="1:21">
      <c r="A538" s="2">
        <v>537</v>
      </c>
      <c r="B538" s="2">
        <v>0</v>
      </c>
      <c r="C538" s="2">
        <v>33000</v>
      </c>
      <c r="D538" s="2">
        <v>1</v>
      </c>
      <c r="E538" s="2">
        <v>1</v>
      </c>
      <c r="F538" s="2">
        <v>0</v>
      </c>
      <c r="G538" s="2">
        <v>1</v>
      </c>
      <c r="H538" s="2">
        <v>0</v>
      </c>
      <c r="I538" s="2">
        <v>0</v>
      </c>
      <c r="J538" s="2">
        <v>24</v>
      </c>
      <c r="K538" s="2">
        <v>0</v>
      </c>
      <c r="L538" s="2">
        <v>1</v>
      </c>
      <c r="M538" s="2">
        <v>1</v>
      </c>
      <c r="N538" s="2">
        <v>1</v>
      </c>
      <c r="O538" s="2">
        <v>1</v>
      </c>
      <c r="P538" s="2">
        <v>1</v>
      </c>
      <c r="Q538" s="2">
        <v>1</v>
      </c>
      <c r="R538" s="2">
        <v>0</v>
      </c>
      <c r="S538" s="6"/>
      <c r="T538" s="7"/>
      <c r="U538" s="3"/>
    </row>
    <row r="539" spans="1:21">
      <c r="A539" s="2">
        <v>538</v>
      </c>
      <c r="B539" s="2">
        <v>0</v>
      </c>
      <c r="C539" s="2">
        <v>24000</v>
      </c>
      <c r="D539" s="2">
        <v>1</v>
      </c>
      <c r="E539" s="2">
        <v>0</v>
      </c>
      <c r="F539" s="2">
        <v>0</v>
      </c>
      <c r="G539" s="2">
        <v>1</v>
      </c>
      <c r="H539" s="2">
        <v>0</v>
      </c>
      <c r="I539" s="2">
        <v>0</v>
      </c>
      <c r="J539" s="2">
        <v>9</v>
      </c>
      <c r="K539" s="2">
        <v>0</v>
      </c>
      <c r="L539" s="2">
        <v>1</v>
      </c>
      <c r="M539" s="2">
        <v>0</v>
      </c>
      <c r="N539" s="2">
        <v>0</v>
      </c>
      <c r="O539" s="2">
        <v>1</v>
      </c>
      <c r="P539" s="2">
        <v>1</v>
      </c>
      <c r="Q539" s="2">
        <v>0</v>
      </c>
      <c r="R539" s="2">
        <v>0</v>
      </c>
      <c r="S539" s="6"/>
      <c r="T539" s="7"/>
      <c r="U539" s="3"/>
    </row>
    <row r="540" spans="1:21">
      <c r="A540" s="2">
        <v>539</v>
      </c>
      <c r="B540" s="2">
        <v>0</v>
      </c>
      <c r="C540" s="2">
        <v>49000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12</v>
      </c>
      <c r="K540" s="2">
        <v>0</v>
      </c>
      <c r="L540" s="2">
        <v>0</v>
      </c>
      <c r="M540" s="2">
        <v>0</v>
      </c>
      <c r="N540" s="2">
        <v>1</v>
      </c>
      <c r="O540" s="2">
        <v>1</v>
      </c>
      <c r="P540" s="2">
        <v>1</v>
      </c>
      <c r="Q540" s="2">
        <v>0</v>
      </c>
      <c r="R540" s="2">
        <v>0</v>
      </c>
      <c r="S540" s="6"/>
      <c r="T540" s="7"/>
      <c r="U540" s="3"/>
    </row>
    <row r="541" spans="1:21">
      <c r="A541" s="2">
        <v>540</v>
      </c>
      <c r="B541" s="2">
        <v>0</v>
      </c>
      <c r="C541" s="2">
        <v>1000</v>
      </c>
      <c r="D541" s="2">
        <v>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1</v>
      </c>
      <c r="M541" s="2">
        <v>0</v>
      </c>
      <c r="N541" s="2">
        <v>0</v>
      </c>
      <c r="O541" s="2">
        <v>1</v>
      </c>
      <c r="P541" s="2">
        <v>1</v>
      </c>
      <c r="Q541" s="2">
        <v>0</v>
      </c>
      <c r="R541" s="2">
        <v>0</v>
      </c>
      <c r="S541" s="6"/>
      <c r="T541" s="7"/>
      <c r="U541" s="3"/>
    </row>
    <row r="542" spans="1:21">
      <c r="A542" s="2">
        <v>541</v>
      </c>
      <c r="B542" s="2">
        <v>0</v>
      </c>
      <c r="C542" s="2">
        <v>17000</v>
      </c>
      <c r="D542" s="2">
        <v>1</v>
      </c>
      <c r="E542" s="2">
        <v>0</v>
      </c>
      <c r="F542" s="2">
        <v>0</v>
      </c>
      <c r="G542" s="2">
        <v>1</v>
      </c>
      <c r="H542" s="2">
        <v>0</v>
      </c>
      <c r="I542" s="2">
        <v>0</v>
      </c>
      <c r="J542" s="2">
        <v>35</v>
      </c>
      <c r="K542" s="2">
        <v>0</v>
      </c>
      <c r="L542" s="2">
        <v>1</v>
      </c>
      <c r="M542" s="2">
        <v>0</v>
      </c>
      <c r="N542" s="2">
        <v>1</v>
      </c>
      <c r="O542" s="2">
        <v>1</v>
      </c>
      <c r="P542" s="2">
        <v>1</v>
      </c>
      <c r="Q542" s="2">
        <v>0</v>
      </c>
      <c r="R542" s="2">
        <v>0</v>
      </c>
      <c r="S542" s="6"/>
      <c r="T542" s="7"/>
      <c r="U542" s="3"/>
    </row>
    <row r="543" spans="1:21">
      <c r="A543" s="2">
        <v>542</v>
      </c>
      <c r="B543" s="2">
        <v>0</v>
      </c>
      <c r="C543" s="2">
        <v>33000</v>
      </c>
      <c r="D543" s="2">
        <v>0</v>
      </c>
      <c r="E543" s="2">
        <v>1</v>
      </c>
      <c r="F543" s="2">
        <v>0</v>
      </c>
      <c r="G543" s="2">
        <v>0</v>
      </c>
      <c r="H543" s="2">
        <v>0</v>
      </c>
      <c r="I543" s="2">
        <v>0</v>
      </c>
      <c r="J543" s="2">
        <v>34</v>
      </c>
      <c r="K543" s="2">
        <v>1</v>
      </c>
      <c r="L543" s="2">
        <v>1</v>
      </c>
      <c r="M543" s="2">
        <v>0</v>
      </c>
      <c r="N543" s="2">
        <v>0</v>
      </c>
      <c r="O543" s="2">
        <v>1</v>
      </c>
      <c r="P543" s="2">
        <v>1</v>
      </c>
      <c r="Q543" s="2">
        <v>0</v>
      </c>
      <c r="R543" s="2">
        <v>0</v>
      </c>
      <c r="S543" s="6"/>
      <c r="T543" s="7"/>
      <c r="U543" s="3"/>
    </row>
    <row r="544" spans="1:21">
      <c r="A544" s="2">
        <v>543</v>
      </c>
      <c r="B544" s="2">
        <v>0</v>
      </c>
      <c r="C544" s="2">
        <v>50000</v>
      </c>
      <c r="D544" s="2">
        <v>1</v>
      </c>
      <c r="E544" s="2">
        <v>1</v>
      </c>
      <c r="F544" s="2">
        <v>0</v>
      </c>
      <c r="G544" s="2">
        <v>0</v>
      </c>
      <c r="H544" s="2">
        <v>0</v>
      </c>
      <c r="I544" s="2">
        <v>0</v>
      </c>
      <c r="J544" s="2">
        <v>6</v>
      </c>
      <c r="K544" s="2">
        <v>1</v>
      </c>
      <c r="L544" s="2">
        <v>0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  <c r="R544" s="2">
        <v>0</v>
      </c>
      <c r="S544" s="6"/>
      <c r="T544" s="7"/>
      <c r="U544" s="3"/>
    </row>
    <row r="545" spans="1:21">
      <c r="A545" s="2">
        <v>544</v>
      </c>
      <c r="B545" s="2">
        <v>0</v>
      </c>
      <c r="C545" s="2">
        <v>58000</v>
      </c>
      <c r="D545" s="2">
        <v>1</v>
      </c>
      <c r="E545" s="2">
        <v>0</v>
      </c>
      <c r="F545" s="2">
        <v>1</v>
      </c>
      <c r="G545" s="2">
        <v>0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1</v>
      </c>
      <c r="N545" s="2">
        <v>0</v>
      </c>
      <c r="O545" s="2">
        <v>1</v>
      </c>
      <c r="P545" s="2">
        <v>1</v>
      </c>
      <c r="Q545" s="2">
        <v>0</v>
      </c>
      <c r="R545" s="2">
        <v>0</v>
      </c>
      <c r="S545" s="6"/>
      <c r="T545" s="7"/>
      <c r="U545" s="3"/>
    </row>
    <row r="546" spans="1:21">
      <c r="A546" s="2">
        <v>545</v>
      </c>
      <c r="B546" s="2">
        <v>0</v>
      </c>
      <c r="C546" s="2">
        <v>18000</v>
      </c>
      <c r="D546" s="2">
        <v>1</v>
      </c>
      <c r="E546" s="2">
        <v>0</v>
      </c>
      <c r="F546" s="2">
        <v>0</v>
      </c>
      <c r="G546" s="2">
        <v>1</v>
      </c>
      <c r="H546" s="2">
        <v>0</v>
      </c>
      <c r="I546" s="2">
        <v>0</v>
      </c>
      <c r="J546" s="2">
        <v>28</v>
      </c>
      <c r="K546" s="2">
        <v>0</v>
      </c>
      <c r="L546" s="2">
        <v>1</v>
      </c>
      <c r="M546" s="2">
        <v>0</v>
      </c>
      <c r="N546" s="2">
        <v>0</v>
      </c>
      <c r="O546" s="2">
        <v>0</v>
      </c>
      <c r="P546" s="2">
        <v>1</v>
      </c>
      <c r="Q546" s="2">
        <v>0</v>
      </c>
      <c r="R546" s="2">
        <v>0</v>
      </c>
      <c r="S546" s="6"/>
      <c r="T546" s="7"/>
      <c r="U546" s="3"/>
    </row>
    <row r="547" spans="1:21">
      <c r="A547" s="2">
        <v>546</v>
      </c>
      <c r="B547" s="2">
        <v>0</v>
      </c>
      <c r="C547" s="2">
        <v>4000</v>
      </c>
      <c r="D547" s="2">
        <v>1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21</v>
      </c>
      <c r="K547" s="2">
        <v>0</v>
      </c>
      <c r="L547" s="2">
        <v>1</v>
      </c>
      <c r="M547" s="2">
        <v>0</v>
      </c>
      <c r="N547" s="2">
        <v>1</v>
      </c>
      <c r="O547" s="2">
        <v>0</v>
      </c>
      <c r="P547" s="2">
        <v>1</v>
      </c>
      <c r="Q547" s="2">
        <v>0</v>
      </c>
      <c r="R547" s="2">
        <v>0</v>
      </c>
      <c r="S547" s="6"/>
      <c r="T547" s="7"/>
      <c r="U547" s="3"/>
    </row>
    <row r="548" spans="1:21">
      <c r="A548" s="2">
        <v>547</v>
      </c>
      <c r="B548" s="2">
        <v>1</v>
      </c>
      <c r="C548" s="2">
        <v>49000</v>
      </c>
      <c r="D548" s="2">
        <v>1</v>
      </c>
      <c r="E548" s="2">
        <v>1</v>
      </c>
      <c r="F548" s="2">
        <v>0</v>
      </c>
      <c r="G548" s="2">
        <v>0</v>
      </c>
      <c r="H548" s="2">
        <v>1</v>
      </c>
      <c r="I548" s="2">
        <v>0</v>
      </c>
      <c r="J548" s="2">
        <v>17</v>
      </c>
      <c r="K548" s="2">
        <v>0</v>
      </c>
      <c r="L548" s="2">
        <v>0</v>
      </c>
      <c r="M548" s="2">
        <v>1</v>
      </c>
      <c r="N548" s="2">
        <v>0</v>
      </c>
      <c r="O548" s="2">
        <v>1</v>
      </c>
      <c r="P548" s="2">
        <v>1</v>
      </c>
      <c r="Q548" s="2">
        <v>0</v>
      </c>
      <c r="R548" s="2">
        <v>0</v>
      </c>
      <c r="S548" s="6"/>
      <c r="T548" s="7"/>
      <c r="U548" s="3"/>
    </row>
    <row r="549" spans="1:21">
      <c r="A549" s="2">
        <v>548</v>
      </c>
      <c r="B549" s="2">
        <v>0</v>
      </c>
      <c r="C549" s="2">
        <v>44000</v>
      </c>
      <c r="D549" s="2">
        <v>0</v>
      </c>
      <c r="E549" s="2">
        <v>0</v>
      </c>
      <c r="F549" s="2">
        <v>1</v>
      </c>
      <c r="G549" s="2">
        <v>1</v>
      </c>
      <c r="H549" s="2">
        <v>0</v>
      </c>
      <c r="I549" s="2">
        <v>0</v>
      </c>
      <c r="J549" s="2">
        <v>4</v>
      </c>
      <c r="K549" s="2">
        <v>0</v>
      </c>
      <c r="L549" s="2">
        <v>0</v>
      </c>
      <c r="M549" s="2">
        <v>1</v>
      </c>
      <c r="N549" s="2">
        <v>0</v>
      </c>
      <c r="O549" s="2">
        <v>1</v>
      </c>
      <c r="P549" s="2">
        <v>1</v>
      </c>
      <c r="Q549" s="2">
        <v>0</v>
      </c>
      <c r="R549" s="2">
        <v>0</v>
      </c>
      <c r="S549" s="6"/>
      <c r="T549" s="7"/>
      <c r="U549" s="3"/>
    </row>
    <row r="550" spans="1:21">
      <c r="A550" s="2">
        <v>549</v>
      </c>
      <c r="B550" s="2">
        <v>0</v>
      </c>
      <c r="C550" s="2">
        <v>8000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1</v>
      </c>
      <c r="J550" s="2">
        <v>23</v>
      </c>
      <c r="K550" s="2">
        <v>0</v>
      </c>
      <c r="L550" s="2">
        <v>0</v>
      </c>
      <c r="M550" s="2">
        <v>0</v>
      </c>
      <c r="N550" s="2">
        <v>0</v>
      </c>
      <c r="O550" s="2">
        <v>1</v>
      </c>
      <c r="P550" s="2">
        <v>1</v>
      </c>
      <c r="Q550" s="2">
        <v>0</v>
      </c>
      <c r="R550" s="2">
        <v>0</v>
      </c>
      <c r="S550" s="6"/>
      <c r="T550" s="7"/>
      <c r="U550" s="3"/>
    </row>
    <row r="551" spans="1:21">
      <c r="A551" s="2">
        <v>550</v>
      </c>
      <c r="B551" s="2">
        <v>0</v>
      </c>
      <c r="C551" s="2">
        <v>52000</v>
      </c>
      <c r="D551" s="2">
        <v>1</v>
      </c>
      <c r="E551" s="2">
        <v>0</v>
      </c>
      <c r="F551" s="2">
        <v>0</v>
      </c>
      <c r="G551" s="2">
        <v>1</v>
      </c>
      <c r="H551" s="2">
        <v>0</v>
      </c>
      <c r="I551" s="2">
        <v>0</v>
      </c>
      <c r="J551" s="2">
        <v>18</v>
      </c>
      <c r="K551" s="2">
        <v>0</v>
      </c>
      <c r="L551" s="2">
        <v>0</v>
      </c>
      <c r="M551" s="2">
        <v>1</v>
      </c>
      <c r="N551" s="2">
        <v>1</v>
      </c>
      <c r="O551" s="2">
        <v>0</v>
      </c>
      <c r="P551" s="2">
        <v>1</v>
      </c>
      <c r="Q551" s="2">
        <v>0</v>
      </c>
      <c r="R551" s="2">
        <v>0</v>
      </c>
      <c r="S551" s="6"/>
      <c r="T551" s="7"/>
      <c r="U551" s="3"/>
    </row>
    <row r="552" spans="1:21">
      <c r="A552" s="2">
        <v>551</v>
      </c>
      <c r="B552" s="2">
        <v>0</v>
      </c>
      <c r="C552" s="2">
        <v>56000</v>
      </c>
      <c r="D552" s="2">
        <v>1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20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>
        <v>1</v>
      </c>
      <c r="Q552" s="2">
        <v>0</v>
      </c>
      <c r="R552" s="2">
        <v>0</v>
      </c>
      <c r="S552" s="6"/>
      <c r="T552" s="7"/>
      <c r="U552" s="3"/>
    </row>
    <row r="553" spans="1:21">
      <c r="A553" s="2">
        <v>552</v>
      </c>
      <c r="B553" s="2">
        <v>0</v>
      </c>
      <c r="C553" s="2">
        <v>25000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1</v>
      </c>
      <c r="J553" s="2">
        <v>16</v>
      </c>
      <c r="K553" s="2">
        <v>0</v>
      </c>
      <c r="L553" s="2">
        <v>0</v>
      </c>
      <c r="M553" s="2">
        <v>1</v>
      </c>
      <c r="N553" s="2">
        <v>1</v>
      </c>
      <c r="O553" s="2">
        <v>0</v>
      </c>
      <c r="P553" s="2">
        <v>1</v>
      </c>
      <c r="Q553" s="2">
        <v>1</v>
      </c>
      <c r="R553" s="2">
        <v>0</v>
      </c>
      <c r="S553" s="6"/>
      <c r="T553" s="7"/>
      <c r="U553" s="3"/>
    </row>
    <row r="554" spans="1:21">
      <c r="A554" s="2">
        <v>553</v>
      </c>
      <c r="B554" s="2">
        <v>0</v>
      </c>
      <c r="C554" s="2">
        <v>30000</v>
      </c>
      <c r="D554" s="2">
        <v>1</v>
      </c>
      <c r="E554" s="2">
        <v>1</v>
      </c>
      <c r="F554" s="2">
        <v>0</v>
      </c>
      <c r="G554" s="2">
        <v>0</v>
      </c>
      <c r="H554" s="2">
        <v>0</v>
      </c>
      <c r="I554" s="2">
        <v>0</v>
      </c>
      <c r="J554" s="2">
        <v>32</v>
      </c>
      <c r="K554" s="2">
        <v>1</v>
      </c>
      <c r="L554" s="2">
        <v>1</v>
      </c>
      <c r="M554" s="2">
        <v>0</v>
      </c>
      <c r="N554" s="2">
        <v>1</v>
      </c>
      <c r="O554" s="2">
        <v>1</v>
      </c>
      <c r="P554" s="2">
        <v>1</v>
      </c>
      <c r="Q554" s="2">
        <v>0</v>
      </c>
      <c r="R554" s="2">
        <v>0</v>
      </c>
      <c r="S554" s="6"/>
      <c r="T554" s="7"/>
      <c r="U554" s="3"/>
    </row>
    <row r="555" spans="1:21">
      <c r="A555" s="2">
        <v>554</v>
      </c>
      <c r="B555" s="2">
        <v>0</v>
      </c>
      <c r="C555" s="2">
        <v>60000</v>
      </c>
      <c r="D555" s="2">
        <v>1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23</v>
      </c>
      <c r="K555" s="2">
        <v>0</v>
      </c>
      <c r="L555" s="2">
        <v>1</v>
      </c>
      <c r="M555" s="2">
        <v>0</v>
      </c>
      <c r="N555" s="2">
        <v>1</v>
      </c>
      <c r="O555" s="2">
        <v>1</v>
      </c>
      <c r="P555" s="2">
        <v>1</v>
      </c>
      <c r="Q555" s="2">
        <v>0</v>
      </c>
      <c r="R555" s="2">
        <v>0</v>
      </c>
      <c r="S555" s="6"/>
      <c r="T555" s="7"/>
      <c r="U555" s="3"/>
    </row>
    <row r="556" spans="1:21">
      <c r="A556" s="2">
        <v>555</v>
      </c>
      <c r="B556" s="2">
        <v>0</v>
      </c>
      <c r="C556" s="2">
        <v>35000</v>
      </c>
      <c r="D556" s="2">
        <v>1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25</v>
      </c>
      <c r="K556" s="2">
        <v>0</v>
      </c>
      <c r="L556" s="2">
        <v>0</v>
      </c>
      <c r="M556" s="2">
        <v>0</v>
      </c>
      <c r="N556" s="2">
        <v>0</v>
      </c>
      <c r="O556" s="2">
        <v>1</v>
      </c>
      <c r="P556" s="2">
        <v>1</v>
      </c>
      <c r="Q556" s="2">
        <v>0</v>
      </c>
      <c r="R556" s="2">
        <v>1</v>
      </c>
      <c r="S556" s="6"/>
      <c r="T556" s="7"/>
      <c r="U556" s="3"/>
    </row>
    <row r="557" spans="1:21">
      <c r="A557" s="2">
        <v>556</v>
      </c>
      <c r="B557" s="2">
        <v>1</v>
      </c>
      <c r="C557" s="2">
        <v>75000</v>
      </c>
      <c r="D557" s="2">
        <v>0</v>
      </c>
      <c r="E557" s="2">
        <v>1</v>
      </c>
      <c r="F557" s="2">
        <v>1</v>
      </c>
      <c r="G557" s="2">
        <v>0</v>
      </c>
      <c r="H557" s="2">
        <v>1</v>
      </c>
      <c r="I557" s="2">
        <v>0</v>
      </c>
      <c r="J557" s="2">
        <v>38</v>
      </c>
      <c r="K557" s="2">
        <v>0</v>
      </c>
      <c r="L557" s="2">
        <v>0</v>
      </c>
      <c r="M557" s="2">
        <v>1</v>
      </c>
      <c r="N557" s="2">
        <v>1</v>
      </c>
      <c r="O557" s="2">
        <v>1</v>
      </c>
      <c r="P557" s="2">
        <v>1</v>
      </c>
      <c r="Q557" s="2">
        <v>0</v>
      </c>
      <c r="R557" s="2">
        <v>0</v>
      </c>
      <c r="S557" s="6"/>
      <c r="T557" s="7"/>
      <c r="U557" s="3"/>
    </row>
    <row r="558" spans="1:21">
      <c r="A558" s="2">
        <v>557</v>
      </c>
      <c r="B558" s="2">
        <v>0</v>
      </c>
      <c r="C558" s="2">
        <v>49000</v>
      </c>
      <c r="D558" s="2">
        <v>1</v>
      </c>
      <c r="E558" s="2">
        <v>1</v>
      </c>
      <c r="F558" s="2">
        <v>0</v>
      </c>
      <c r="G558" s="2">
        <v>1</v>
      </c>
      <c r="H558" s="2">
        <v>0</v>
      </c>
      <c r="I558" s="2">
        <v>0</v>
      </c>
      <c r="J558" s="2">
        <v>20</v>
      </c>
      <c r="K558" s="2">
        <v>1</v>
      </c>
      <c r="L558" s="2">
        <v>1</v>
      </c>
      <c r="M558" s="2">
        <v>1</v>
      </c>
      <c r="N558" s="2">
        <v>1</v>
      </c>
      <c r="O558" s="2">
        <v>0</v>
      </c>
      <c r="P558" s="2">
        <v>1</v>
      </c>
      <c r="Q558" s="2">
        <v>0</v>
      </c>
      <c r="R558" s="2">
        <v>0</v>
      </c>
      <c r="S558" s="6"/>
      <c r="T558" s="7"/>
      <c r="U558" s="3"/>
    </row>
    <row r="559" spans="1:21">
      <c r="A559" s="2">
        <v>558</v>
      </c>
      <c r="B559" s="2">
        <v>0</v>
      </c>
      <c r="C559" s="2">
        <v>8000</v>
      </c>
      <c r="D559" s="2">
        <v>1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2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1</v>
      </c>
      <c r="Q559" s="2">
        <v>0</v>
      </c>
      <c r="R559" s="2">
        <v>0</v>
      </c>
      <c r="S559" s="6"/>
      <c r="T559" s="7"/>
      <c r="U559" s="3"/>
    </row>
    <row r="560" spans="1:21">
      <c r="A560" s="2">
        <v>559</v>
      </c>
      <c r="B560" s="2">
        <v>0</v>
      </c>
      <c r="C560" s="2">
        <v>15000</v>
      </c>
      <c r="D560" s="2">
        <v>1</v>
      </c>
      <c r="E560" s="2">
        <v>0</v>
      </c>
      <c r="F560" s="2">
        <v>1</v>
      </c>
      <c r="G560" s="2">
        <v>0</v>
      </c>
      <c r="H560" s="2">
        <v>0</v>
      </c>
      <c r="I560" s="2">
        <v>0</v>
      </c>
      <c r="J560" s="2">
        <v>33</v>
      </c>
      <c r="K560" s="2">
        <v>0</v>
      </c>
      <c r="L560" s="2">
        <v>0</v>
      </c>
      <c r="M560" s="2">
        <v>0</v>
      </c>
      <c r="N560" s="2">
        <v>1</v>
      </c>
      <c r="O560" s="2">
        <v>1</v>
      </c>
      <c r="P560" s="2">
        <v>1</v>
      </c>
      <c r="Q560" s="2">
        <v>0</v>
      </c>
      <c r="R560" s="2">
        <v>0</v>
      </c>
      <c r="S560" s="6"/>
      <c r="T560" s="7"/>
      <c r="U560" s="3"/>
    </row>
    <row r="561" spans="1:21">
      <c r="A561" s="2">
        <v>560</v>
      </c>
      <c r="B561" s="2">
        <v>0</v>
      </c>
      <c r="C561" s="2">
        <v>19000</v>
      </c>
      <c r="D561" s="2">
        <v>1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34</v>
      </c>
      <c r="K561" s="2">
        <v>0</v>
      </c>
      <c r="L561" s="2">
        <v>1</v>
      </c>
      <c r="M561" s="2">
        <v>0</v>
      </c>
      <c r="N561" s="2">
        <v>1</v>
      </c>
      <c r="O561" s="2">
        <v>0</v>
      </c>
      <c r="P561" s="2">
        <v>1</v>
      </c>
      <c r="Q561" s="2">
        <v>0</v>
      </c>
      <c r="R561" s="2">
        <v>0</v>
      </c>
      <c r="S561" s="6"/>
      <c r="T561" s="7"/>
      <c r="U561" s="3"/>
    </row>
    <row r="562" spans="1:21">
      <c r="A562" s="2">
        <v>561</v>
      </c>
      <c r="B562" s="2">
        <v>0</v>
      </c>
      <c r="C562" s="2">
        <v>7000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7</v>
      </c>
      <c r="K562" s="2">
        <v>0</v>
      </c>
      <c r="L562" s="2">
        <v>1</v>
      </c>
      <c r="M562" s="2">
        <v>0</v>
      </c>
      <c r="N562" s="2">
        <v>1</v>
      </c>
      <c r="O562" s="2">
        <v>1</v>
      </c>
      <c r="P562" s="2">
        <v>0</v>
      </c>
      <c r="Q562" s="2">
        <v>0</v>
      </c>
      <c r="R562" s="2">
        <v>0</v>
      </c>
      <c r="S562" s="6"/>
      <c r="T562" s="7"/>
      <c r="U562" s="3"/>
    </row>
    <row r="563" spans="1:21">
      <c r="A563" s="2">
        <v>562</v>
      </c>
      <c r="B563" s="2">
        <v>1</v>
      </c>
      <c r="C563" s="2">
        <v>61000</v>
      </c>
      <c r="D563" s="2">
        <v>1</v>
      </c>
      <c r="E563" s="2">
        <v>1</v>
      </c>
      <c r="F563" s="2">
        <v>0</v>
      </c>
      <c r="G563" s="2">
        <v>0</v>
      </c>
      <c r="H563" s="2">
        <v>0</v>
      </c>
      <c r="I563" s="2">
        <v>0</v>
      </c>
      <c r="J563" s="2">
        <v>15</v>
      </c>
      <c r="K563" s="2">
        <v>0</v>
      </c>
      <c r="L563" s="2">
        <v>1</v>
      </c>
      <c r="M563" s="2">
        <v>1</v>
      </c>
      <c r="N563" s="2">
        <v>1</v>
      </c>
      <c r="O563" s="2">
        <v>1</v>
      </c>
      <c r="P563" s="2">
        <v>1</v>
      </c>
      <c r="Q563" s="2">
        <v>0</v>
      </c>
      <c r="R563" s="2">
        <v>0</v>
      </c>
      <c r="S563" s="6"/>
      <c r="T563" s="7"/>
      <c r="U563" s="3"/>
    </row>
    <row r="564" spans="1:21">
      <c r="A564" s="2">
        <v>563</v>
      </c>
      <c r="B564" s="2">
        <v>1</v>
      </c>
      <c r="C564" s="2">
        <v>75000</v>
      </c>
      <c r="D564" s="2">
        <v>1</v>
      </c>
      <c r="E564" s="2">
        <v>1</v>
      </c>
      <c r="F564" s="2">
        <v>0</v>
      </c>
      <c r="G564" s="2">
        <v>0</v>
      </c>
      <c r="H564" s="2">
        <v>0</v>
      </c>
      <c r="I564" s="2">
        <v>0</v>
      </c>
      <c r="J564" s="2">
        <v>23</v>
      </c>
      <c r="K564" s="2">
        <v>1</v>
      </c>
      <c r="L564" s="2">
        <v>0</v>
      </c>
      <c r="M564" s="2">
        <v>1</v>
      </c>
      <c r="N564" s="2">
        <v>1</v>
      </c>
      <c r="O564" s="2">
        <v>1</v>
      </c>
      <c r="P564" s="2">
        <v>1</v>
      </c>
      <c r="Q564" s="2">
        <v>0</v>
      </c>
      <c r="R564" s="2">
        <v>0</v>
      </c>
      <c r="S564" s="6"/>
      <c r="T564" s="7"/>
      <c r="U564" s="3"/>
    </row>
    <row r="565" spans="1:21">
      <c r="A565" s="2">
        <v>564</v>
      </c>
      <c r="B565" s="2">
        <v>1</v>
      </c>
      <c r="C565" s="2">
        <v>75000</v>
      </c>
      <c r="D565" s="2">
        <v>1</v>
      </c>
      <c r="E565" s="2">
        <v>1</v>
      </c>
      <c r="F565" s="2">
        <v>0</v>
      </c>
      <c r="G565" s="2">
        <v>0</v>
      </c>
      <c r="H565" s="2">
        <v>0</v>
      </c>
      <c r="I565" s="2">
        <v>0</v>
      </c>
      <c r="J565" s="2">
        <v>34</v>
      </c>
      <c r="K565" s="2">
        <v>0</v>
      </c>
      <c r="L565" s="2">
        <v>1</v>
      </c>
      <c r="M565" s="2">
        <v>1</v>
      </c>
      <c r="N565" s="2">
        <v>1</v>
      </c>
      <c r="O565" s="2">
        <v>1</v>
      </c>
      <c r="P565" s="2">
        <v>1</v>
      </c>
      <c r="Q565" s="2">
        <v>1</v>
      </c>
      <c r="R565" s="2">
        <v>0</v>
      </c>
      <c r="S565" s="6"/>
      <c r="T565" s="7"/>
      <c r="U565" s="3"/>
    </row>
    <row r="566" spans="1:21">
      <c r="A566" s="2">
        <v>565</v>
      </c>
      <c r="B566" s="2">
        <v>1</v>
      </c>
      <c r="C566" s="2">
        <v>59000</v>
      </c>
      <c r="D566" s="2">
        <v>1</v>
      </c>
      <c r="E566" s="2">
        <v>0</v>
      </c>
      <c r="F566" s="2">
        <v>0</v>
      </c>
      <c r="G566" s="2">
        <v>1</v>
      </c>
      <c r="H566" s="2">
        <v>0</v>
      </c>
      <c r="I566" s="2">
        <v>0</v>
      </c>
      <c r="J566" s="2">
        <v>25</v>
      </c>
      <c r="K566" s="2">
        <v>0</v>
      </c>
      <c r="L566" s="2">
        <v>0</v>
      </c>
      <c r="M566" s="2">
        <v>1</v>
      </c>
      <c r="N566" s="2">
        <v>1</v>
      </c>
      <c r="O566" s="2">
        <v>1</v>
      </c>
      <c r="P566" s="2">
        <v>1</v>
      </c>
      <c r="Q566" s="2">
        <v>0</v>
      </c>
      <c r="R566" s="2">
        <v>0</v>
      </c>
      <c r="S566" s="6"/>
      <c r="T566" s="7"/>
      <c r="U566" s="3"/>
    </row>
    <row r="567" spans="1:21">
      <c r="A567" s="2">
        <v>566</v>
      </c>
      <c r="B567" s="2">
        <v>0</v>
      </c>
      <c r="C567" s="2">
        <v>12000</v>
      </c>
      <c r="D567" s="2">
        <v>1</v>
      </c>
      <c r="E567" s="2">
        <v>1</v>
      </c>
      <c r="F567" s="2">
        <v>1</v>
      </c>
      <c r="G567" s="2">
        <v>1</v>
      </c>
      <c r="H567" s="2">
        <v>0</v>
      </c>
      <c r="I567" s="2">
        <v>0</v>
      </c>
      <c r="J567" s="2">
        <v>7</v>
      </c>
      <c r="K567" s="2">
        <v>1</v>
      </c>
      <c r="L567" s="2">
        <v>1</v>
      </c>
      <c r="M567" s="2">
        <v>1</v>
      </c>
      <c r="N567" s="2">
        <v>1</v>
      </c>
      <c r="O567" s="2">
        <v>0</v>
      </c>
      <c r="P567" s="2">
        <v>1</v>
      </c>
      <c r="Q567" s="2">
        <v>0</v>
      </c>
      <c r="R567" s="2">
        <v>0</v>
      </c>
      <c r="S567" s="6"/>
      <c r="T567" s="7"/>
      <c r="U567" s="3"/>
    </row>
    <row r="568" spans="1:21">
      <c r="A568" s="2">
        <v>567</v>
      </c>
      <c r="B568" s="2">
        <v>0</v>
      </c>
      <c r="C568" s="2">
        <v>0</v>
      </c>
      <c r="D568" s="2">
        <v>1</v>
      </c>
      <c r="E568" s="2">
        <v>0</v>
      </c>
      <c r="F568" s="2">
        <v>0</v>
      </c>
      <c r="G568" s="2">
        <v>0</v>
      </c>
      <c r="H568" s="2">
        <v>1</v>
      </c>
      <c r="I568" s="2">
        <v>0</v>
      </c>
      <c r="J568" s="2">
        <v>19</v>
      </c>
      <c r="K568" s="2">
        <v>0</v>
      </c>
      <c r="L568" s="2">
        <v>0</v>
      </c>
      <c r="M568" s="2">
        <v>0</v>
      </c>
      <c r="N568" s="2">
        <v>0</v>
      </c>
      <c r="O568" s="2">
        <v>1</v>
      </c>
      <c r="P568" s="2">
        <v>1</v>
      </c>
      <c r="Q568" s="2">
        <v>0</v>
      </c>
      <c r="R568" s="2">
        <v>0</v>
      </c>
      <c r="S568" s="6"/>
      <c r="T568" s="7"/>
      <c r="U568" s="3"/>
    </row>
    <row r="569" spans="1:21">
      <c r="A569" s="2">
        <v>568</v>
      </c>
      <c r="B569" s="2">
        <v>0</v>
      </c>
      <c r="C569" s="2">
        <v>26000</v>
      </c>
      <c r="D569" s="2">
        <v>1</v>
      </c>
      <c r="E569" s="2">
        <v>0</v>
      </c>
      <c r="F569" s="2">
        <v>0</v>
      </c>
      <c r="G569" s="2">
        <v>1</v>
      </c>
      <c r="H569" s="2">
        <v>0</v>
      </c>
      <c r="I569" s="2">
        <v>0</v>
      </c>
      <c r="J569" s="2">
        <v>52</v>
      </c>
      <c r="K569" s="2">
        <v>0</v>
      </c>
      <c r="L569" s="2">
        <v>0</v>
      </c>
      <c r="M569" s="2">
        <v>1</v>
      </c>
      <c r="N569" s="2">
        <v>1</v>
      </c>
      <c r="O569" s="2">
        <v>1</v>
      </c>
      <c r="P569" s="2">
        <v>1</v>
      </c>
      <c r="Q569" s="2">
        <v>0</v>
      </c>
      <c r="R569" s="2">
        <v>0</v>
      </c>
      <c r="S569" s="6"/>
      <c r="T569" s="7"/>
      <c r="U569" s="3"/>
    </row>
    <row r="570" spans="1:21">
      <c r="A570" s="2">
        <v>569</v>
      </c>
      <c r="B570" s="2">
        <v>0</v>
      </c>
      <c r="C570" s="2">
        <v>26000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17</v>
      </c>
      <c r="K570" s="2">
        <v>0</v>
      </c>
      <c r="L570" s="2">
        <v>1</v>
      </c>
      <c r="M570" s="2">
        <v>0</v>
      </c>
      <c r="N570" s="2">
        <v>1</v>
      </c>
      <c r="O570" s="2">
        <v>0</v>
      </c>
      <c r="P570" s="2">
        <v>1</v>
      </c>
      <c r="Q570" s="2">
        <v>0</v>
      </c>
      <c r="R570" s="2">
        <v>0</v>
      </c>
      <c r="S570" s="6"/>
      <c r="T570" s="7"/>
      <c r="U570" s="3"/>
    </row>
    <row r="571" spans="1:21">
      <c r="A571" s="2">
        <v>570</v>
      </c>
      <c r="B571" s="2">
        <v>0</v>
      </c>
      <c r="C571" s="2">
        <v>0</v>
      </c>
      <c r="D571" s="2">
        <v>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18</v>
      </c>
      <c r="K571" s="2">
        <v>0</v>
      </c>
      <c r="L571" s="2">
        <v>1</v>
      </c>
      <c r="M571" s="2">
        <v>0</v>
      </c>
      <c r="N571" s="2">
        <v>1</v>
      </c>
      <c r="O571" s="2">
        <v>1</v>
      </c>
      <c r="P571" s="2">
        <v>1</v>
      </c>
      <c r="Q571" s="2">
        <v>0</v>
      </c>
      <c r="R571" s="2">
        <v>0</v>
      </c>
      <c r="S571" s="6"/>
      <c r="T571" s="7"/>
      <c r="U571" s="3"/>
    </row>
    <row r="572" spans="1:21">
      <c r="A572" s="2">
        <v>571</v>
      </c>
      <c r="B572" s="2">
        <v>1</v>
      </c>
      <c r="C572" s="2">
        <v>69000</v>
      </c>
      <c r="D572" s="2">
        <v>1</v>
      </c>
      <c r="E572" s="2">
        <v>1</v>
      </c>
      <c r="F572" s="2">
        <v>0</v>
      </c>
      <c r="G572" s="2">
        <v>0</v>
      </c>
      <c r="H572" s="2">
        <v>0</v>
      </c>
      <c r="I572" s="2">
        <v>0</v>
      </c>
      <c r="J572" s="2">
        <v>3</v>
      </c>
      <c r="K572" s="2">
        <v>0</v>
      </c>
      <c r="L572" s="2">
        <v>1</v>
      </c>
      <c r="M572" s="2">
        <v>1</v>
      </c>
      <c r="N572" s="2">
        <v>1</v>
      </c>
      <c r="O572" s="2">
        <v>1</v>
      </c>
      <c r="P572" s="2">
        <v>1</v>
      </c>
      <c r="Q572" s="2">
        <v>0</v>
      </c>
      <c r="R572" s="2">
        <v>0</v>
      </c>
      <c r="S572" s="6"/>
      <c r="T572" s="7"/>
      <c r="U572" s="3"/>
    </row>
    <row r="573" spans="1:21">
      <c r="A573" s="2">
        <v>572</v>
      </c>
      <c r="B573" s="2">
        <v>1</v>
      </c>
      <c r="C573" s="2">
        <v>65000</v>
      </c>
      <c r="D573" s="2">
        <v>1</v>
      </c>
      <c r="E573" s="2">
        <v>1</v>
      </c>
      <c r="F573" s="2">
        <v>1</v>
      </c>
      <c r="G573" s="2">
        <v>1</v>
      </c>
      <c r="H573" s="2">
        <v>0</v>
      </c>
      <c r="I573" s="2">
        <v>0</v>
      </c>
      <c r="J573" s="2">
        <v>1</v>
      </c>
      <c r="K573" s="2">
        <v>1</v>
      </c>
      <c r="L573" s="2">
        <v>0</v>
      </c>
      <c r="M573" s="2">
        <v>0</v>
      </c>
      <c r="N573" s="2">
        <v>1</v>
      </c>
      <c r="O573" s="2">
        <v>1</v>
      </c>
      <c r="P573" s="2">
        <v>1</v>
      </c>
      <c r="Q573" s="2">
        <v>0</v>
      </c>
      <c r="R573" s="2">
        <v>0</v>
      </c>
      <c r="S573" s="6"/>
      <c r="T573" s="7"/>
      <c r="U573" s="3"/>
    </row>
    <row r="574" spans="1:21">
      <c r="A574" s="2">
        <v>573</v>
      </c>
      <c r="B574" s="2">
        <v>0</v>
      </c>
      <c r="C574" s="2">
        <v>7000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8</v>
      </c>
      <c r="K574" s="2">
        <v>0</v>
      </c>
      <c r="L574" s="2">
        <v>0</v>
      </c>
      <c r="M574" s="2">
        <v>1</v>
      </c>
      <c r="N574" s="2">
        <v>1</v>
      </c>
      <c r="O574" s="2">
        <v>1</v>
      </c>
      <c r="P574" s="2">
        <v>1</v>
      </c>
      <c r="Q574" s="2">
        <v>0</v>
      </c>
      <c r="R574" s="2">
        <v>0</v>
      </c>
      <c r="S574" s="6"/>
      <c r="T574" s="7"/>
      <c r="U574" s="3"/>
    </row>
    <row r="575" spans="1:21">
      <c r="A575" s="2">
        <v>574</v>
      </c>
      <c r="B575" s="2">
        <v>0</v>
      </c>
      <c r="C575" s="2">
        <v>62000</v>
      </c>
      <c r="D575" s="2">
        <v>1</v>
      </c>
      <c r="E575" s="2">
        <v>1</v>
      </c>
      <c r="F575" s="2">
        <v>1</v>
      </c>
      <c r="G575" s="2">
        <v>1</v>
      </c>
      <c r="H575" s="2">
        <v>0</v>
      </c>
      <c r="I575" s="2">
        <v>0</v>
      </c>
      <c r="J575" s="2">
        <v>20</v>
      </c>
      <c r="K575" s="2">
        <v>1</v>
      </c>
      <c r="L575" s="2">
        <v>1</v>
      </c>
      <c r="M575" s="2">
        <v>0</v>
      </c>
      <c r="N575" s="2">
        <v>1</v>
      </c>
      <c r="O575" s="2">
        <v>1</v>
      </c>
      <c r="P575" s="2">
        <v>1</v>
      </c>
      <c r="Q575" s="2">
        <v>0</v>
      </c>
      <c r="R575" s="2">
        <v>0</v>
      </c>
      <c r="S575" s="6"/>
      <c r="T575" s="7"/>
      <c r="U575" s="3"/>
    </row>
    <row r="576" spans="1:21">
      <c r="A576" s="2">
        <v>575</v>
      </c>
      <c r="B576" s="2">
        <v>0</v>
      </c>
      <c r="C576" s="2">
        <v>57000</v>
      </c>
      <c r="D576" s="2">
        <v>0</v>
      </c>
      <c r="E576" s="2">
        <v>1</v>
      </c>
      <c r="F576" s="2">
        <v>0</v>
      </c>
      <c r="G576" s="2">
        <v>1</v>
      </c>
      <c r="H576" s="2">
        <v>0</v>
      </c>
      <c r="I576" s="2">
        <v>0</v>
      </c>
      <c r="J576" s="2">
        <v>18</v>
      </c>
      <c r="K576" s="2">
        <v>1</v>
      </c>
      <c r="L576" s="2">
        <v>0</v>
      </c>
      <c r="M576" s="2">
        <v>1</v>
      </c>
      <c r="N576" s="2">
        <v>1</v>
      </c>
      <c r="O576" s="2">
        <v>0</v>
      </c>
      <c r="P576" s="2">
        <v>1</v>
      </c>
      <c r="Q576" s="2">
        <v>0</v>
      </c>
      <c r="R576" s="2">
        <v>0</v>
      </c>
      <c r="S576" s="6"/>
      <c r="T576" s="7"/>
      <c r="U576" s="3"/>
    </row>
    <row r="577" spans="1:21">
      <c r="A577" s="2">
        <v>576</v>
      </c>
      <c r="B577" s="2">
        <v>0</v>
      </c>
      <c r="C577" s="2">
        <v>5000</v>
      </c>
      <c r="D577" s="2">
        <v>1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1</v>
      </c>
      <c r="K577" s="2">
        <v>0</v>
      </c>
      <c r="L577" s="2">
        <v>0</v>
      </c>
      <c r="M577" s="2">
        <v>0</v>
      </c>
      <c r="N577" s="2">
        <v>1</v>
      </c>
      <c r="O577" s="2">
        <v>1</v>
      </c>
      <c r="P577" s="2">
        <v>1</v>
      </c>
      <c r="Q577" s="2">
        <v>0</v>
      </c>
      <c r="R577" s="2">
        <v>0</v>
      </c>
      <c r="S577" s="6"/>
      <c r="T577" s="7"/>
      <c r="U577" s="3"/>
    </row>
    <row r="578" spans="1:21">
      <c r="A578" s="2">
        <v>577</v>
      </c>
      <c r="B578" s="2">
        <v>0</v>
      </c>
      <c r="C578" s="2">
        <v>56000</v>
      </c>
      <c r="D578" s="2">
        <v>1</v>
      </c>
      <c r="E578" s="2">
        <v>1</v>
      </c>
      <c r="F578" s="2">
        <v>1</v>
      </c>
      <c r="G578" s="2">
        <v>0</v>
      </c>
      <c r="H578" s="2">
        <v>0</v>
      </c>
      <c r="I578" s="2">
        <v>0</v>
      </c>
      <c r="J578" s="2">
        <v>43</v>
      </c>
      <c r="K578" s="2">
        <v>0</v>
      </c>
      <c r="L578" s="2">
        <v>0</v>
      </c>
      <c r="M578" s="2">
        <v>1</v>
      </c>
      <c r="N578" s="2">
        <v>1</v>
      </c>
      <c r="O578" s="2">
        <v>0</v>
      </c>
      <c r="P578" s="2">
        <v>1</v>
      </c>
      <c r="Q578" s="2">
        <v>0</v>
      </c>
      <c r="R578" s="2">
        <v>0</v>
      </c>
      <c r="S578" s="6"/>
      <c r="T578" s="7"/>
      <c r="U578" s="3"/>
    </row>
    <row r="579" spans="1:21">
      <c r="A579" s="2">
        <v>578</v>
      </c>
      <c r="B579" s="2">
        <v>0</v>
      </c>
      <c r="C579" s="2">
        <v>67000</v>
      </c>
      <c r="D579" s="2">
        <v>1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10</v>
      </c>
      <c r="K579" s="2">
        <v>0</v>
      </c>
      <c r="L579" s="2">
        <v>1</v>
      </c>
      <c r="M579" s="2">
        <v>0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6"/>
      <c r="T579" s="7"/>
      <c r="U579" s="3"/>
    </row>
    <row r="580" spans="1:21">
      <c r="A580" s="2">
        <v>579</v>
      </c>
      <c r="B580" s="2">
        <v>0</v>
      </c>
      <c r="C580" s="2">
        <v>27000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19</v>
      </c>
      <c r="K580" s="2">
        <v>0</v>
      </c>
      <c r="L580" s="2">
        <v>1</v>
      </c>
      <c r="M580" s="2">
        <v>0</v>
      </c>
      <c r="N580" s="2">
        <v>1</v>
      </c>
      <c r="O580" s="2">
        <v>1</v>
      </c>
      <c r="P580" s="2">
        <v>1</v>
      </c>
      <c r="Q580" s="2">
        <v>0</v>
      </c>
      <c r="R580" s="2">
        <v>0</v>
      </c>
      <c r="S580" s="6"/>
      <c r="T580" s="7"/>
      <c r="U580" s="3"/>
    </row>
    <row r="581" spans="1:21">
      <c r="A581" s="2">
        <v>580</v>
      </c>
      <c r="B581" s="2">
        <v>0</v>
      </c>
      <c r="C581" s="2">
        <v>40000</v>
      </c>
      <c r="D581" s="2">
        <v>0</v>
      </c>
      <c r="E581" s="2">
        <v>0</v>
      </c>
      <c r="F581" s="2">
        <v>0</v>
      </c>
      <c r="G581" s="2">
        <v>1</v>
      </c>
      <c r="H581" s="2">
        <v>0</v>
      </c>
      <c r="I581" s="2">
        <v>0</v>
      </c>
      <c r="J581" s="2">
        <v>1</v>
      </c>
      <c r="K581" s="2">
        <v>0</v>
      </c>
      <c r="L581" s="2">
        <v>1</v>
      </c>
      <c r="M581" s="2">
        <v>1</v>
      </c>
      <c r="N581" s="2">
        <v>1</v>
      </c>
      <c r="O581" s="2">
        <v>1</v>
      </c>
      <c r="P581" s="2">
        <v>1</v>
      </c>
      <c r="Q581" s="2">
        <v>0</v>
      </c>
      <c r="R581" s="2">
        <v>0</v>
      </c>
      <c r="S581" s="6"/>
      <c r="T581" s="7"/>
      <c r="U581" s="3"/>
    </row>
    <row r="582" spans="1:21">
      <c r="A582" s="2">
        <v>581</v>
      </c>
      <c r="B582" s="2">
        <v>0</v>
      </c>
      <c r="C582" s="2">
        <v>46000</v>
      </c>
      <c r="D582" s="2">
        <v>1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12</v>
      </c>
      <c r="K582" s="2">
        <v>0</v>
      </c>
      <c r="L582" s="2">
        <v>0</v>
      </c>
      <c r="M582" s="2">
        <v>1</v>
      </c>
      <c r="N582" s="2">
        <v>1</v>
      </c>
      <c r="O582" s="2">
        <v>1</v>
      </c>
      <c r="P582" s="2">
        <v>1</v>
      </c>
      <c r="Q582" s="2">
        <v>0</v>
      </c>
      <c r="R582" s="2">
        <v>0</v>
      </c>
      <c r="S582" s="6"/>
      <c r="T582" s="7"/>
      <c r="U582" s="3"/>
    </row>
    <row r="583" spans="1:21">
      <c r="A583" s="2">
        <v>582</v>
      </c>
      <c r="B583" s="2">
        <v>0</v>
      </c>
      <c r="C583" s="2">
        <v>44000</v>
      </c>
      <c r="D583" s="2">
        <v>0</v>
      </c>
      <c r="E583" s="2">
        <v>0</v>
      </c>
      <c r="F583" s="2">
        <v>1</v>
      </c>
      <c r="G583" s="2">
        <v>1</v>
      </c>
      <c r="H583" s="2">
        <v>0</v>
      </c>
      <c r="I583" s="2">
        <v>0</v>
      </c>
      <c r="J583" s="2">
        <v>48</v>
      </c>
      <c r="K583" s="2">
        <v>0</v>
      </c>
      <c r="L583" s="2">
        <v>0</v>
      </c>
      <c r="M583" s="2">
        <v>0</v>
      </c>
      <c r="N583" s="2">
        <v>0</v>
      </c>
      <c r="O583" s="2">
        <v>1</v>
      </c>
      <c r="P583" s="2">
        <v>1</v>
      </c>
      <c r="Q583" s="2">
        <v>0</v>
      </c>
      <c r="R583" s="2">
        <v>0</v>
      </c>
      <c r="S583" s="6"/>
      <c r="T583" s="7"/>
      <c r="U583" s="3"/>
    </row>
    <row r="584" spans="1:21">
      <c r="A584" s="2">
        <v>583</v>
      </c>
      <c r="B584" s="2">
        <v>0</v>
      </c>
      <c r="C584" s="2">
        <v>17000</v>
      </c>
      <c r="D584" s="2">
        <v>1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2">
        <v>1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1</v>
      </c>
      <c r="S584" s="6"/>
      <c r="T584" s="7"/>
      <c r="U584" s="3"/>
    </row>
    <row r="585" spans="1:21">
      <c r="A585" s="2">
        <v>584</v>
      </c>
      <c r="B585" s="2">
        <v>0</v>
      </c>
      <c r="C585" s="2">
        <v>70000</v>
      </c>
      <c r="D585" s="2">
        <v>1</v>
      </c>
      <c r="E585" s="2">
        <v>0</v>
      </c>
      <c r="F585" s="2">
        <v>1</v>
      </c>
      <c r="G585" s="2">
        <v>1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1</v>
      </c>
      <c r="O585" s="2">
        <v>1</v>
      </c>
      <c r="P585" s="2">
        <v>1</v>
      </c>
      <c r="Q585" s="2">
        <v>0</v>
      </c>
      <c r="R585" s="2">
        <v>0</v>
      </c>
      <c r="S585" s="6"/>
      <c r="T585" s="7"/>
      <c r="U585" s="3"/>
    </row>
    <row r="586" spans="1:21">
      <c r="A586" s="2">
        <v>585</v>
      </c>
      <c r="B586" s="2">
        <v>0</v>
      </c>
      <c r="C586" s="2">
        <v>22000</v>
      </c>
      <c r="D586" s="2">
        <v>1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13</v>
      </c>
      <c r="K586" s="2">
        <v>0</v>
      </c>
      <c r="L586" s="2">
        <v>0</v>
      </c>
      <c r="M586" s="2">
        <v>0</v>
      </c>
      <c r="N586" s="2">
        <v>0</v>
      </c>
      <c r="O586" s="2">
        <v>1</v>
      </c>
      <c r="P586" s="2">
        <v>1</v>
      </c>
      <c r="Q586" s="2">
        <v>1</v>
      </c>
      <c r="R586" s="2">
        <v>0</v>
      </c>
      <c r="S586" s="6"/>
      <c r="T586" s="7"/>
      <c r="U586" s="3"/>
    </row>
    <row r="587" spans="1:21">
      <c r="A587" s="2">
        <v>586</v>
      </c>
      <c r="B587" s="2">
        <v>0</v>
      </c>
      <c r="C587" s="2">
        <v>39000</v>
      </c>
      <c r="D587" s="2">
        <v>0</v>
      </c>
      <c r="E587" s="2">
        <v>0</v>
      </c>
      <c r="F587" s="2">
        <v>1</v>
      </c>
      <c r="G587" s="2">
        <v>1</v>
      </c>
      <c r="H587" s="2">
        <v>0</v>
      </c>
      <c r="I587" s="2">
        <v>0</v>
      </c>
      <c r="J587" s="2">
        <v>10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1</v>
      </c>
      <c r="Q587" s="2">
        <v>0</v>
      </c>
      <c r="R587" s="2">
        <v>0</v>
      </c>
      <c r="S587" s="6"/>
      <c r="T587" s="7"/>
      <c r="U587" s="3"/>
    </row>
    <row r="588" spans="1:21">
      <c r="A588" s="2">
        <v>587</v>
      </c>
      <c r="B588" s="2">
        <v>0</v>
      </c>
      <c r="C588" s="2">
        <v>8000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16</v>
      </c>
      <c r="K588" s="2">
        <v>0</v>
      </c>
      <c r="L588" s="2">
        <v>1</v>
      </c>
      <c r="M588" s="2">
        <v>0</v>
      </c>
      <c r="N588" s="2">
        <v>1</v>
      </c>
      <c r="O588" s="2">
        <v>1</v>
      </c>
      <c r="P588" s="2">
        <v>1</v>
      </c>
      <c r="Q588" s="2">
        <v>0</v>
      </c>
      <c r="R588" s="2">
        <v>1</v>
      </c>
      <c r="S588" s="6"/>
      <c r="T588" s="7"/>
      <c r="U588" s="3"/>
    </row>
    <row r="589" spans="1:21">
      <c r="A589" s="2">
        <v>588</v>
      </c>
      <c r="B589" s="2">
        <v>0</v>
      </c>
      <c r="C589" s="2">
        <v>30000</v>
      </c>
      <c r="D589" s="2">
        <v>1</v>
      </c>
      <c r="E589" s="2">
        <v>1</v>
      </c>
      <c r="F589" s="2">
        <v>1</v>
      </c>
      <c r="G589" s="2">
        <v>1</v>
      </c>
      <c r="H589" s="2">
        <v>0</v>
      </c>
      <c r="I589" s="2">
        <v>0</v>
      </c>
      <c r="J589" s="2">
        <v>14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>
        <v>1</v>
      </c>
      <c r="Q589" s="2">
        <v>0</v>
      </c>
      <c r="R589" s="2">
        <v>0</v>
      </c>
      <c r="S589" s="6"/>
      <c r="T589" s="7"/>
      <c r="U589" s="3"/>
    </row>
    <row r="590" spans="1:21">
      <c r="A590" s="2">
        <v>589</v>
      </c>
      <c r="B590" s="2">
        <v>0</v>
      </c>
      <c r="C590" s="2">
        <v>23000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1</v>
      </c>
      <c r="J590" s="2">
        <v>19</v>
      </c>
      <c r="K590" s="2">
        <v>0</v>
      </c>
      <c r="L590" s="2">
        <v>0</v>
      </c>
      <c r="M590" s="2">
        <v>1</v>
      </c>
      <c r="N590" s="2">
        <v>1</v>
      </c>
      <c r="O590" s="2">
        <v>0</v>
      </c>
      <c r="P590" s="2">
        <v>1</v>
      </c>
      <c r="Q590" s="2">
        <v>0</v>
      </c>
      <c r="R590" s="2">
        <v>0</v>
      </c>
      <c r="S590" s="6"/>
      <c r="T590" s="7"/>
      <c r="U590" s="3"/>
    </row>
    <row r="591" spans="1:21">
      <c r="A591" s="2">
        <v>590</v>
      </c>
      <c r="B591" s="2">
        <v>0</v>
      </c>
      <c r="C591" s="2">
        <v>32000</v>
      </c>
      <c r="D591" s="2">
        <v>1</v>
      </c>
      <c r="E591" s="2">
        <v>0</v>
      </c>
      <c r="F591" s="2">
        <v>0</v>
      </c>
      <c r="G591" s="2">
        <v>1</v>
      </c>
      <c r="H591" s="2">
        <v>0</v>
      </c>
      <c r="I591" s="2">
        <v>0</v>
      </c>
      <c r="J591" s="2">
        <v>40</v>
      </c>
      <c r="K591" s="2">
        <v>0</v>
      </c>
      <c r="L591" s="2">
        <v>0</v>
      </c>
      <c r="M591" s="2">
        <v>0</v>
      </c>
      <c r="N591" s="2">
        <v>0</v>
      </c>
      <c r="O591" s="2">
        <v>1</v>
      </c>
      <c r="P591" s="2">
        <v>1</v>
      </c>
      <c r="Q591" s="2">
        <v>0</v>
      </c>
      <c r="R591" s="2">
        <v>0</v>
      </c>
      <c r="S591" s="6"/>
      <c r="T591" s="7"/>
      <c r="U591" s="3"/>
    </row>
    <row r="592" spans="1:21">
      <c r="A592" s="2">
        <v>591</v>
      </c>
      <c r="B592" s="2">
        <v>1</v>
      </c>
      <c r="C592" s="2">
        <v>75000</v>
      </c>
      <c r="D592" s="2">
        <v>1</v>
      </c>
      <c r="E592" s="2">
        <v>0</v>
      </c>
      <c r="F592" s="2">
        <v>0</v>
      </c>
      <c r="G592" s="2">
        <v>1</v>
      </c>
      <c r="H592" s="2">
        <v>0</v>
      </c>
      <c r="I592" s="2">
        <v>0</v>
      </c>
      <c r="J592" s="2">
        <v>19</v>
      </c>
      <c r="K592" s="2">
        <v>0</v>
      </c>
      <c r="L592" s="2">
        <v>1</v>
      </c>
      <c r="M592" s="2">
        <v>1</v>
      </c>
      <c r="N592" s="2">
        <v>1</v>
      </c>
      <c r="O592" s="2">
        <v>1</v>
      </c>
      <c r="P592" s="2">
        <v>1</v>
      </c>
      <c r="Q592" s="2">
        <v>1</v>
      </c>
      <c r="R592" s="2">
        <v>0</v>
      </c>
      <c r="S592" s="6"/>
      <c r="T592" s="7"/>
      <c r="U592" s="3"/>
    </row>
    <row r="593" spans="1:21">
      <c r="A593" s="2">
        <v>592</v>
      </c>
      <c r="B593" s="2">
        <v>0</v>
      </c>
      <c r="C593" s="2">
        <v>13000</v>
      </c>
      <c r="D593" s="2">
        <v>0</v>
      </c>
      <c r="E593" s="2">
        <v>1</v>
      </c>
      <c r="F593" s="2">
        <v>0</v>
      </c>
      <c r="G593" s="2">
        <v>1</v>
      </c>
      <c r="H593" s="2">
        <v>0</v>
      </c>
      <c r="I593" s="2">
        <v>0</v>
      </c>
      <c r="J593" s="2">
        <v>19</v>
      </c>
      <c r="K593" s="2">
        <v>1</v>
      </c>
      <c r="L593" s="2">
        <v>0</v>
      </c>
      <c r="M593" s="2">
        <v>0</v>
      </c>
      <c r="N593" s="2">
        <v>0</v>
      </c>
      <c r="O593" s="2">
        <v>0</v>
      </c>
      <c r="P593" s="2">
        <v>1</v>
      </c>
      <c r="Q593" s="2">
        <v>0</v>
      </c>
      <c r="R593" s="2">
        <v>0</v>
      </c>
      <c r="S593" s="6"/>
      <c r="T593" s="7"/>
      <c r="U593" s="3"/>
    </row>
    <row r="594" spans="1:21">
      <c r="A594" s="2">
        <v>593</v>
      </c>
      <c r="B594" s="2">
        <v>0</v>
      </c>
      <c r="C594" s="2">
        <v>17000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18</v>
      </c>
      <c r="K594" s="2">
        <v>0</v>
      </c>
      <c r="L594" s="2">
        <v>0</v>
      </c>
      <c r="M594" s="2">
        <v>0</v>
      </c>
      <c r="N594" s="2">
        <v>1</v>
      </c>
      <c r="O594" s="2">
        <v>0</v>
      </c>
      <c r="P594" s="2">
        <v>1</v>
      </c>
      <c r="Q594" s="2">
        <v>0</v>
      </c>
      <c r="R594" s="2">
        <v>0</v>
      </c>
      <c r="S594" s="6"/>
      <c r="T594" s="7"/>
      <c r="U594" s="3"/>
    </row>
    <row r="595" spans="1:21">
      <c r="A595" s="2">
        <v>594</v>
      </c>
      <c r="B595" s="2">
        <v>0</v>
      </c>
      <c r="C595" s="2">
        <v>13000</v>
      </c>
      <c r="D595" s="2">
        <v>1</v>
      </c>
      <c r="E595" s="2">
        <v>1</v>
      </c>
      <c r="F595" s="2">
        <v>0</v>
      </c>
      <c r="G595" s="2">
        <v>1</v>
      </c>
      <c r="H595" s="2">
        <v>0</v>
      </c>
      <c r="I595" s="2">
        <v>0</v>
      </c>
      <c r="J595" s="2">
        <v>12</v>
      </c>
      <c r="K595" s="2">
        <v>0</v>
      </c>
      <c r="L595" s="2">
        <v>0</v>
      </c>
      <c r="M595" s="2">
        <v>1</v>
      </c>
      <c r="N595" s="2">
        <v>1</v>
      </c>
      <c r="O595" s="2">
        <v>1</v>
      </c>
      <c r="P595" s="2">
        <v>1</v>
      </c>
      <c r="Q595" s="2">
        <v>0</v>
      </c>
      <c r="R595" s="2">
        <v>0</v>
      </c>
      <c r="S595" s="6"/>
      <c r="T595" s="7"/>
      <c r="U595" s="3"/>
    </row>
    <row r="596" spans="1:21">
      <c r="A596" s="2">
        <v>595</v>
      </c>
      <c r="B596" s="2">
        <v>1</v>
      </c>
      <c r="C596" s="2">
        <v>69000</v>
      </c>
      <c r="D596" s="2">
        <v>1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13</v>
      </c>
      <c r="K596" s="2">
        <v>0</v>
      </c>
      <c r="L596" s="2">
        <v>0</v>
      </c>
      <c r="M596" s="2">
        <v>0</v>
      </c>
      <c r="N596" s="2">
        <v>0</v>
      </c>
      <c r="O596" s="2">
        <v>1</v>
      </c>
      <c r="P596" s="2">
        <v>1</v>
      </c>
      <c r="Q596" s="2">
        <v>0</v>
      </c>
      <c r="R596" s="2">
        <v>0</v>
      </c>
      <c r="S596" s="6"/>
      <c r="T596" s="7"/>
      <c r="U596" s="3"/>
    </row>
    <row r="597" spans="1:21">
      <c r="A597" s="2">
        <v>596</v>
      </c>
      <c r="B597" s="2">
        <v>0</v>
      </c>
      <c r="C597" s="2">
        <v>14000</v>
      </c>
      <c r="D597" s="2">
        <v>0</v>
      </c>
      <c r="E597" s="2">
        <v>0</v>
      </c>
      <c r="F597" s="2">
        <v>0</v>
      </c>
      <c r="G597" s="2">
        <v>1</v>
      </c>
      <c r="H597" s="2">
        <v>0</v>
      </c>
      <c r="I597" s="2">
        <v>0</v>
      </c>
      <c r="J597" s="2">
        <v>22</v>
      </c>
      <c r="K597" s="2">
        <v>0</v>
      </c>
      <c r="L597" s="2">
        <v>0</v>
      </c>
      <c r="M597" s="2">
        <v>0</v>
      </c>
      <c r="N597" s="2">
        <v>1</v>
      </c>
      <c r="O597" s="2">
        <v>0</v>
      </c>
      <c r="P597" s="2">
        <v>1</v>
      </c>
      <c r="Q597" s="2">
        <v>0</v>
      </c>
      <c r="R597" s="2">
        <v>0</v>
      </c>
      <c r="S597" s="6"/>
      <c r="T597" s="7"/>
      <c r="U597" s="3"/>
    </row>
    <row r="598" spans="1:21">
      <c r="A598" s="2">
        <v>597</v>
      </c>
      <c r="B598" s="2">
        <v>1</v>
      </c>
      <c r="C598" s="2">
        <v>75000</v>
      </c>
      <c r="D598" s="2">
        <v>1</v>
      </c>
      <c r="E598" s="2">
        <v>1</v>
      </c>
      <c r="F598" s="2">
        <v>1</v>
      </c>
      <c r="G598" s="2">
        <v>0</v>
      </c>
      <c r="H598" s="2">
        <v>0</v>
      </c>
      <c r="I598" s="2">
        <v>0</v>
      </c>
      <c r="J598" s="2">
        <v>17</v>
      </c>
      <c r="K598" s="2">
        <v>0</v>
      </c>
      <c r="L598" s="2">
        <v>0</v>
      </c>
      <c r="M598" s="2">
        <v>1</v>
      </c>
      <c r="N598" s="2">
        <v>1</v>
      </c>
      <c r="O598" s="2">
        <v>1</v>
      </c>
      <c r="P598" s="2">
        <v>1</v>
      </c>
      <c r="Q598" s="2">
        <v>0</v>
      </c>
      <c r="R598" s="2">
        <v>0</v>
      </c>
      <c r="S598" s="6"/>
      <c r="T598" s="7"/>
      <c r="U598" s="3"/>
    </row>
    <row r="599" spans="1:21">
      <c r="A599" s="2">
        <v>598</v>
      </c>
      <c r="B599" s="2">
        <v>0</v>
      </c>
      <c r="C599" s="2">
        <v>23000</v>
      </c>
      <c r="D599" s="2">
        <v>1</v>
      </c>
      <c r="E599" s="2">
        <v>0</v>
      </c>
      <c r="F599" s="2">
        <v>1</v>
      </c>
      <c r="G599" s="2">
        <v>0</v>
      </c>
      <c r="H599" s="2">
        <v>0</v>
      </c>
      <c r="I599" s="2">
        <v>0</v>
      </c>
      <c r="J599" s="2">
        <v>17</v>
      </c>
      <c r="K599" s="2">
        <v>0</v>
      </c>
      <c r="L599" s="2">
        <v>0</v>
      </c>
      <c r="M599" s="2">
        <v>1</v>
      </c>
      <c r="N599" s="2">
        <v>1</v>
      </c>
      <c r="O599" s="2">
        <v>0</v>
      </c>
      <c r="P599" s="2">
        <v>1</v>
      </c>
      <c r="Q599" s="2">
        <v>0</v>
      </c>
      <c r="R599" s="2">
        <v>0</v>
      </c>
      <c r="S599" s="6"/>
      <c r="T599" s="7"/>
      <c r="U599" s="3"/>
    </row>
    <row r="600" spans="1:21">
      <c r="A600" s="2">
        <v>599</v>
      </c>
      <c r="B600" s="2">
        <v>0</v>
      </c>
      <c r="C600" s="2">
        <v>46000</v>
      </c>
      <c r="D600" s="2">
        <v>1</v>
      </c>
      <c r="E600" s="2">
        <v>1</v>
      </c>
      <c r="F600" s="2">
        <v>1</v>
      </c>
      <c r="G600" s="2">
        <v>0</v>
      </c>
      <c r="H600" s="2">
        <v>1</v>
      </c>
      <c r="I600" s="2">
        <v>0</v>
      </c>
      <c r="J600" s="2">
        <v>68</v>
      </c>
      <c r="K600" s="2">
        <v>0</v>
      </c>
      <c r="L600" s="2">
        <v>0</v>
      </c>
      <c r="M600" s="2">
        <v>1</v>
      </c>
      <c r="N600" s="2">
        <v>1</v>
      </c>
      <c r="O600" s="2">
        <v>1</v>
      </c>
      <c r="P600" s="2">
        <v>1</v>
      </c>
      <c r="Q600" s="2">
        <v>0</v>
      </c>
      <c r="R600" s="2">
        <v>0</v>
      </c>
      <c r="S600" s="6"/>
      <c r="T600" s="7"/>
      <c r="U600" s="3"/>
    </row>
    <row r="601" spans="1:21">
      <c r="A601" s="2">
        <v>600</v>
      </c>
      <c r="B601" s="2">
        <v>0</v>
      </c>
      <c r="C601" s="2">
        <v>2000</v>
      </c>
      <c r="D601" s="2">
        <v>1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12</v>
      </c>
      <c r="K601" s="2">
        <v>0</v>
      </c>
      <c r="L601" s="2">
        <v>1</v>
      </c>
      <c r="M601" s="2">
        <v>0</v>
      </c>
      <c r="N601" s="2">
        <v>1</v>
      </c>
      <c r="O601" s="2">
        <v>0</v>
      </c>
      <c r="P601" s="2">
        <v>1</v>
      </c>
      <c r="Q601" s="2">
        <v>0</v>
      </c>
      <c r="R601" s="2">
        <v>0</v>
      </c>
      <c r="S601" s="6"/>
      <c r="T601" s="7"/>
      <c r="U601" s="3"/>
    </row>
    <row r="602" spans="1:21">
      <c r="A602" s="2">
        <v>601</v>
      </c>
      <c r="B602" s="2">
        <v>0</v>
      </c>
      <c r="C602" s="2">
        <v>37000</v>
      </c>
      <c r="D602" s="2">
        <v>1</v>
      </c>
      <c r="E602" s="2">
        <v>1</v>
      </c>
      <c r="F602" s="2">
        <v>0</v>
      </c>
      <c r="G602" s="2">
        <v>0</v>
      </c>
      <c r="H602" s="2">
        <v>0</v>
      </c>
      <c r="I602" s="2">
        <v>0</v>
      </c>
      <c r="J602" s="2">
        <v>15</v>
      </c>
      <c r="K602" s="2">
        <v>0</v>
      </c>
      <c r="L602" s="2">
        <v>1</v>
      </c>
      <c r="M602" s="2">
        <v>1</v>
      </c>
      <c r="N602" s="2">
        <v>1</v>
      </c>
      <c r="O602" s="2">
        <v>1</v>
      </c>
      <c r="P602" s="2">
        <v>1</v>
      </c>
      <c r="Q602" s="2">
        <v>0</v>
      </c>
      <c r="R602" s="2">
        <v>0</v>
      </c>
      <c r="S602" s="6"/>
      <c r="T602" s="7"/>
      <c r="U602" s="3"/>
    </row>
    <row r="603" spans="1:21">
      <c r="A603" s="2">
        <v>602</v>
      </c>
      <c r="B603" s="2">
        <v>0</v>
      </c>
      <c r="C603" s="2">
        <v>14000</v>
      </c>
      <c r="D603" s="2">
        <v>1</v>
      </c>
      <c r="E603" s="2">
        <v>1</v>
      </c>
      <c r="F603" s="2">
        <v>0</v>
      </c>
      <c r="G603" s="2">
        <v>0</v>
      </c>
      <c r="H603" s="2">
        <v>0</v>
      </c>
      <c r="I603" s="2">
        <v>0</v>
      </c>
      <c r="J603" s="2">
        <v>28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1</v>
      </c>
      <c r="Q603" s="2">
        <v>0</v>
      </c>
      <c r="R603" s="2">
        <v>0</v>
      </c>
      <c r="S603" s="6"/>
      <c r="T603" s="7"/>
      <c r="U603" s="3"/>
    </row>
    <row r="604" spans="1:21">
      <c r="A604" s="2">
        <v>603</v>
      </c>
      <c r="B604" s="2">
        <v>0</v>
      </c>
      <c r="C604" s="2">
        <v>8000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14</v>
      </c>
      <c r="K604" s="2">
        <v>0</v>
      </c>
      <c r="L604" s="2">
        <v>1</v>
      </c>
      <c r="M604" s="2">
        <v>0</v>
      </c>
      <c r="N604" s="2">
        <v>1</v>
      </c>
      <c r="O604" s="2">
        <v>0</v>
      </c>
      <c r="P604" s="2">
        <v>1</v>
      </c>
      <c r="Q604" s="2">
        <v>0</v>
      </c>
      <c r="R604" s="2">
        <v>0</v>
      </c>
      <c r="S604" s="6"/>
      <c r="T604" s="7"/>
      <c r="U604" s="3"/>
    </row>
    <row r="605" spans="1:21">
      <c r="A605" s="2">
        <v>604</v>
      </c>
      <c r="B605" s="2">
        <v>0</v>
      </c>
      <c r="C605" s="2">
        <v>27000</v>
      </c>
      <c r="D605" s="2">
        <v>0</v>
      </c>
      <c r="E605" s="2">
        <v>0</v>
      </c>
      <c r="F605" s="2">
        <v>0</v>
      </c>
      <c r="G605" s="2">
        <v>1</v>
      </c>
      <c r="H605" s="2">
        <v>0</v>
      </c>
      <c r="I605" s="2">
        <v>0</v>
      </c>
      <c r="J605" s="2">
        <v>4</v>
      </c>
      <c r="K605" s="2">
        <v>0</v>
      </c>
      <c r="L605" s="2">
        <v>0</v>
      </c>
      <c r="M605" s="2">
        <v>0</v>
      </c>
      <c r="N605" s="2">
        <v>1</v>
      </c>
      <c r="O605" s="2">
        <v>0</v>
      </c>
      <c r="P605" s="2">
        <v>0</v>
      </c>
      <c r="Q605" s="2">
        <v>1</v>
      </c>
      <c r="R605" s="2">
        <v>0</v>
      </c>
      <c r="S605" s="6"/>
      <c r="T605" s="7"/>
      <c r="U605" s="3"/>
    </row>
    <row r="606" spans="1:21">
      <c r="A606" s="2">
        <v>605</v>
      </c>
      <c r="B606" s="2">
        <v>0</v>
      </c>
      <c r="C606" s="2">
        <v>5000</v>
      </c>
      <c r="D606" s="2">
        <v>0</v>
      </c>
      <c r="E606" s="2">
        <v>1</v>
      </c>
      <c r="F606" s="2">
        <v>0</v>
      </c>
      <c r="G606" s="2">
        <v>0</v>
      </c>
      <c r="H606" s="2">
        <v>0</v>
      </c>
      <c r="I606" s="2">
        <v>1</v>
      </c>
      <c r="J606" s="2">
        <v>32</v>
      </c>
      <c r="K606" s="2">
        <v>0</v>
      </c>
      <c r="L606" s="2">
        <v>1</v>
      </c>
      <c r="M606" s="2">
        <v>1</v>
      </c>
      <c r="N606" s="2">
        <v>1</v>
      </c>
      <c r="O606" s="2">
        <v>0</v>
      </c>
      <c r="P606" s="2">
        <v>0</v>
      </c>
      <c r="Q606" s="2">
        <v>0</v>
      </c>
      <c r="R606" s="2">
        <v>0</v>
      </c>
      <c r="S606" s="6"/>
      <c r="T606" s="7"/>
      <c r="U606" s="3"/>
    </row>
    <row r="607" spans="1:21">
      <c r="A607" s="2">
        <v>606</v>
      </c>
      <c r="B607" s="2">
        <v>0</v>
      </c>
      <c r="C607" s="2">
        <v>6000</v>
      </c>
      <c r="D607" s="2">
        <v>1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17</v>
      </c>
      <c r="K607" s="2">
        <v>0</v>
      </c>
      <c r="L607" s="2">
        <v>1</v>
      </c>
      <c r="M607" s="2">
        <v>0</v>
      </c>
      <c r="N607" s="2">
        <v>0</v>
      </c>
      <c r="O607" s="2">
        <v>1</v>
      </c>
      <c r="P607" s="2">
        <v>1</v>
      </c>
      <c r="Q607" s="2">
        <v>0</v>
      </c>
      <c r="R607" s="2">
        <v>0</v>
      </c>
      <c r="S607" s="6"/>
      <c r="T607" s="7"/>
      <c r="U607" s="3"/>
    </row>
    <row r="608" spans="1:21">
      <c r="A608" s="2">
        <v>607</v>
      </c>
      <c r="B608" s="2">
        <v>0</v>
      </c>
      <c r="C608" s="2">
        <v>44000</v>
      </c>
      <c r="D608" s="2">
        <v>1</v>
      </c>
      <c r="E608" s="2">
        <v>0</v>
      </c>
      <c r="F608" s="2">
        <v>1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1</v>
      </c>
      <c r="M608" s="2">
        <v>0</v>
      </c>
      <c r="N608" s="2">
        <v>1</v>
      </c>
      <c r="O608" s="2">
        <v>1</v>
      </c>
      <c r="P608" s="2">
        <v>1</v>
      </c>
      <c r="Q608" s="2">
        <v>0</v>
      </c>
      <c r="R608" s="2">
        <v>0</v>
      </c>
      <c r="S608" s="6"/>
      <c r="T608" s="7"/>
      <c r="U608" s="3"/>
    </row>
    <row r="609" spans="1:21">
      <c r="A609" s="2">
        <v>608</v>
      </c>
      <c r="B609" s="2">
        <v>0</v>
      </c>
      <c r="C609" s="2">
        <v>14000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19</v>
      </c>
      <c r="K609" s="2">
        <v>1</v>
      </c>
      <c r="L609" s="2">
        <v>0</v>
      </c>
      <c r="M609" s="2">
        <v>0</v>
      </c>
      <c r="N609" s="2">
        <v>1</v>
      </c>
      <c r="O609" s="2">
        <v>0</v>
      </c>
      <c r="P609" s="2">
        <v>1</v>
      </c>
      <c r="Q609" s="2">
        <v>0</v>
      </c>
      <c r="R609" s="2">
        <v>0</v>
      </c>
      <c r="S609" s="6"/>
      <c r="T609" s="7"/>
      <c r="U609" s="3"/>
    </row>
    <row r="610" spans="1:21">
      <c r="A610" s="2">
        <v>609</v>
      </c>
      <c r="B610" s="2">
        <v>0</v>
      </c>
      <c r="C610" s="2">
        <v>49000</v>
      </c>
      <c r="D610" s="2">
        <v>1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20</v>
      </c>
      <c r="K610" s="2">
        <v>0</v>
      </c>
      <c r="L610" s="2">
        <v>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6"/>
      <c r="T610" s="7"/>
      <c r="U610" s="3"/>
    </row>
    <row r="611" spans="1:21">
      <c r="A611" s="2">
        <v>610</v>
      </c>
      <c r="B611" s="2">
        <v>1</v>
      </c>
      <c r="C611" s="2">
        <v>75000</v>
      </c>
      <c r="D611" s="2">
        <v>1</v>
      </c>
      <c r="E611" s="2">
        <v>0</v>
      </c>
      <c r="F611" s="2">
        <v>1</v>
      </c>
      <c r="G611" s="2">
        <v>0</v>
      </c>
      <c r="H611" s="2">
        <v>0</v>
      </c>
      <c r="I611" s="2">
        <v>1</v>
      </c>
      <c r="J611" s="2">
        <v>23</v>
      </c>
      <c r="K611" s="2">
        <v>0</v>
      </c>
      <c r="L611" s="2">
        <v>1</v>
      </c>
      <c r="M611" s="2">
        <v>0</v>
      </c>
      <c r="N611" s="2">
        <v>1</v>
      </c>
      <c r="O611" s="2">
        <v>1</v>
      </c>
      <c r="P611" s="2">
        <v>1</v>
      </c>
      <c r="Q611" s="2">
        <v>0</v>
      </c>
      <c r="R611" s="2">
        <v>0</v>
      </c>
      <c r="S611" s="6"/>
      <c r="T611" s="7"/>
      <c r="U611" s="3"/>
    </row>
    <row r="612" spans="1:21">
      <c r="A612" s="2">
        <v>611</v>
      </c>
      <c r="B612" s="2">
        <v>0</v>
      </c>
      <c r="C612" s="2">
        <v>7000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14</v>
      </c>
      <c r="K612" s="2">
        <v>0</v>
      </c>
      <c r="L612" s="2">
        <v>1</v>
      </c>
      <c r="M612" s="2">
        <v>0</v>
      </c>
      <c r="N612" s="2">
        <v>1</v>
      </c>
      <c r="O612" s="2">
        <v>0</v>
      </c>
      <c r="P612" s="2">
        <v>1</v>
      </c>
      <c r="Q612" s="2">
        <v>0</v>
      </c>
      <c r="R612" s="2">
        <v>0</v>
      </c>
      <c r="S612" s="6"/>
      <c r="T612" s="7"/>
      <c r="U612" s="3"/>
    </row>
    <row r="613" spans="1:21">
      <c r="A613" s="2">
        <v>612</v>
      </c>
      <c r="B613" s="2">
        <v>0</v>
      </c>
      <c r="C613" s="2">
        <v>61000</v>
      </c>
      <c r="D613" s="2">
        <v>0</v>
      </c>
      <c r="E613" s="2">
        <v>1</v>
      </c>
      <c r="F613" s="2">
        <v>1</v>
      </c>
      <c r="G613" s="2">
        <v>1</v>
      </c>
      <c r="H613" s="2">
        <v>0</v>
      </c>
      <c r="I613" s="2">
        <v>0</v>
      </c>
      <c r="J613" s="2">
        <v>42</v>
      </c>
      <c r="K613" s="2">
        <v>0</v>
      </c>
      <c r="L613" s="2">
        <v>0</v>
      </c>
      <c r="M613" s="2">
        <v>1</v>
      </c>
      <c r="N613" s="2">
        <v>1</v>
      </c>
      <c r="O613" s="2">
        <v>0</v>
      </c>
      <c r="P613" s="2">
        <v>1</v>
      </c>
      <c r="Q613" s="2">
        <v>0</v>
      </c>
      <c r="R613" s="2">
        <v>1</v>
      </c>
      <c r="S613" s="6"/>
      <c r="T613" s="7"/>
      <c r="U613" s="3"/>
    </row>
    <row r="614" spans="1:21">
      <c r="A614" s="2">
        <v>613</v>
      </c>
      <c r="B614" s="2">
        <v>0</v>
      </c>
      <c r="C614" s="2">
        <v>42000</v>
      </c>
      <c r="D614" s="2">
        <v>0</v>
      </c>
      <c r="E614" s="2">
        <v>1</v>
      </c>
      <c r="F614" s="2">
        <v>0</v>
      </c>
      <c r="G614" s="2">
        <v>0</v>
      </c>
      <c r="H614" s="2">
        <v>0</v>
      </c>
      <c r="I614" s="2">
        <v>0</v>
      </c>
      <c r="J614" s="2">
        <v>57</v>
      </c>
      <c r="K614" s="2">
        <v>0</v>
      </c>
      <c r="L614" s="2">
        <v>0</v>
      </c>
      <c r="M614" s="2">
        <v>1</v>
      </c>
      <c r="N614" s="2">
        <v>1</v>
      </c>
      <c r="O614" s="2">
        <v>1</v>
      </c>
      <c r="P614" s="2">
        <v>1</v>
      </c>
      <c r="Q614" s="2">
        <v>0</v>
      </c>
      <c r="R614" s="2">
        <v>0</v>
      </c>
      <c r="S614" s="6"/>
      <c r="T614" s="7"/>
      <c r="U614" s="3"/>
    </row>
    <row r="615" spans="1:21">
      <c r="A615" s="2">
        <v>614</v>
      </c>
      <c r="B615" s="2">
        <v>0</v>
      </c>
      <c r="C615" s="2">
        <v>30000</v>
      </c>
      <c r="D615" s="2">
        <v>1</v>
      </c>
      <c r="E615" s="2">
        <v>1</v>
      </c>
      <c r="F615" s="2">
        <v>0</v>
      </c>
      <c r="G615" s="2">
        <v>1</v>
      </c>
      <c r="H615" s="2">
        <v>0</v>
      </c>
      <c r="I615" s="2">
        <v>0</v>
      </c>
      <c r="J615" s="2">
        <v>19</v>
      </c>
      <c r="K615" s="2">
        <v>1</v>
      </c>
      <c r="L615" s="2">
        <v>1</v>
      </c>
      <c r="M615" s="2">
        <v>0</v>
      </c>
      <c r="N615" s="2">
        <v>0</v>
      </c>
      <c r="O615" s="2">
        <v>1</v>
      </c>
      <c r="P615" s="2">
        <v>1</v>
      </c>
      <c r="Q615" s="2">
        <v>0</v>
      </c>
      <c r="R615" s="2">
        <v>1</v>
      </c>
      <c r="S615" s="6"/>
      <c r="T615" s="7"/>
      <c r="U615" s="3"/>
    </row>
    <row r="616" spans="1:21">
      <c r="A616" s="2">
        <v>615</v>
      </c>
      <c r="B616" s="2">
        <v>1</v>
      </c>
      <c r="C616" s="2">
        <v>59000</v>
      </c>
      <c r="D616" s="2">
        <v>1</v>
      </c>
      <c r="E616" s="2">
        <v>1</v>
      </c>
      <c r="F616" s="2">
        <v>0</v>
      </c>
      <c r="G616" s="2">
        <v>0</v>
      </c>
      <c r="H616" s="2">
        <v>0</v>
      </c>
      <c r="I616" s="2">
        <v>0</v>
      </c>
      <c r="J616" s="2">
        <v>35</v>
      </c>
      <c r="K616" s="2">
        <v>0</v>
      </c>
      <c r="L616" s="2">
        <v>1</v>
      </c>
      <c r="M616" s="2">
        <v>1</v>
      </c>
      <c r="N616" s="2">
        <v>1</v>
      </c>
      <c r="O616" s="2">
        <v>1</v>
      </c>
      <c r="P616" s="2">
        <v>1</v>
      </c>
      <c r="Q616" s="2">
        <v>0</v>
      </c>
      <c r="R616" s="2">
        <v>0</v>
      </c>
      <c r="S616" s="6"/>
      <c r="T616" s="7"/>
      <c r="U616" s="3"/>
    </row>
    <row r="617" spans="1:21">
      <c r="A617" s="2">
        <v>616</v>
      </c>
      <c r="B617" s="2">
        <v>0</v>
      </c>
      <c r="C617" s="2">
        <v>38000</v>
      </c>
      <c r="D617" s="2">
        <v>0</v>
      </c>
      <c r="E617" s="2">
        <v>0</v>
      </c>
      <c r="F617" s="2">
        <v>1</v>
      </c>
      <c r="G617" s="2">
        <v>1</v>
      </c>
      <c r="H617" s="2">
        <v>0</v>
      </c>
      <c r="I617" s="2">
        <v>0</v>
      </c>
      <c r="J617" s="2">
        <v>3</v>
      </c>
      <c r="K617" s="2">
        <v>0</v>
      </c>
      <c r="L617" s="2">
        <v>0</v>
      </c>
      <c r="M617" s="2">
        <v>0</v>
      </c>
      <c r="N617" s="2">
        <v>0</v>
      </c>
      <c r="O617" s="2">
        <v>1</v>
      </c>
      <c r="P617" s="2">
        <v>1</v>
      </c>
      <c r="Q617" s="2">
        <v>0</v>
      </c>
      <c r="R617" s="2">
        <v>1</v>
      </c>
      <c r="S617" s="6"/>
      <c r="T617" s="7"/>
      <c r="U617" s="3"/>
    </row>
    <row r="618" spans="1:21">
      <c r="A618" s="2">
        <v>617</v>
      </c>
      <c r="B618" s="2">
        <v>0</v>
      </c>
      <c r="C618" s="2">
        <v>13000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23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0</v>
      </c>
      <c r="R618" s="2">
        <v>0</v>
      </c>
      <c r="S618" s="6"/>
      <c r="T618" s="7"/>
      <c r="U618" s="3"/>
    </row>
    <row r="619" spans="1:21">
      <c r="A619" s="2">
        <v>618</v>
      </c>
      <c r="B619" s="2">
        <v>0</v>
      </c>
      <c r="C619" s="2">
        <v>31000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25</v>
      </c>
      <c r="K619" s="2">
        <v>0</v>
      </c>
      <c r="L619" s="2">
        <v>1</v>
      </c>
      <c r="M619" s="2">
        <v>0</v>
      </c>
      <c r="N619" s="2">
        <v>1</v>
      </c>
      <c r="O619" s="2">
        <v>0</v>
      </c>
      <c r="P619" s="2">
        <v>0</v>
      </c>
      <c r="Q619" s="2">
        <v>0</v>
      </c>
      <c r="R619" s="2">
        <v>1</v>
      </c>
      <c r="S619" s="6"/>
      <c r="T619" s="7"/>
      <c r="U619" s="3"/>
    </row>
    <row r="620" spans="1:21">
      <c r="A620" s="2">
        <v>619</v>
      </c>
      <c r="B620" s="2">
        <v>0</v>
      </c>
      <c r="C620" s="2">
        <v>24000</v>
      </c>
      <c r="D620" s="2">
        <v>0</v>
      </c>
      <c r="E620" s="2">
        <v>1</v>
      </c>
      <c r="F620" s="2">
        <v>1</v>
      </c>
      <c r="G620" s="2">
        <v>0</v>
      </c>
      <c r="H620" s="2">
        <v>1</v>
      </c>
      <c r="I620" s="2">
        <v>0</v>
      </c>
      <c r="J620" s="2">
        <v>23</v>
      </c>
      <c r="K620" s="2">
        <v>0</v>
      </c>
      <c r="L620" s="2">
        <v>0</v>
      </c>
      <c r="M620" s="2">
        <v>1</v>
      </c>
      <c r="N620" s="2">
        <v>1</v>
      </c>
      <c r="O620" s="2">
        <v>1</v>
      </c>
      <c r="P620" s="2">
        <v>1</v>
      </c>
      <c r="Q620" s="2">
        <v>0</v>
      </c>
      <c r="R620" s="2">
        <v>0</v>
      </c>
      <c r="S620" s="6"/>
      <c r="T620" s="7"/>
      <c r="U620" s="3"/>
    </row>
    <row r="621" spans="1:21">
      <c r="A621" s="2">
        <v>620</v>
      </c>
      <c r="B621" s="2">
        <v>0</v>
      </c>
      <c r="C621" s="2">
        <v>34000</v>
      </c>
      <c r="D621" s="2">
        <v>0</v>
      </c>
      <c r="E621" s="2">
        <v>0</v>
      </c>
      <c r="F621" s="2">
        <v>1</v>
      </c>
      <c r="G621" s="2">
        <v>0</v>
      </c>
      <c r="H621" s="2">
        <v>0</v>
      </c>
      <c r="I621" s="2">
        <v>0</v>
      </c>
      <c r="J621" s="2">
        <v>18</v>
      </c>
      <c r="K621" s="2">
        <v>0</v>
      </c>
      <c r="L621" s="2">
        <v>0</v>
      </c>
      <c r="M621" s="2">
        <v>0</v>
      </c>
      <c r="N621" s="2">
        <v>1</v>
      </c>
      <c r="O621" s="2">
        <v>0</v>
      </c>
      <c r="P621" s="2">
        <v>1</v>
      </c>
      <c r="Q621" s="2">
        <v>0</v>
      </c>
      <c r="R621" s="2">
        <v>0</v>
      </c>
      <c r="S621" s="6"/>
      <c r="T621" s="7"/>
      <c r="U621" s="3"/>
    </row>
    <row r="622" spans="1:21">
      <c r="A622" s="2">
        <v>621</v>
      </c>
      <c r="B622" s="2">
        <v>0</v>
      </c>
      <c r="C622" s="2">
        <v>45000</v>
      </c>
      <c r="D622" s="2">
        <v>1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15</v>
      </c>
      <c r="K622" s="2">
        <v>0</v>
      </c>
      <c r="L622" s="2">
        <v>1</v>
      </c>
      <c r="M622" s="2">
        <v>1</v>
      </c>
      <c r="N622" s="2">
        <v>1</v>
      </c>
      <c r="O622" s="2">
        <v>1</v>
      </c>
      <c r="P622" s="2">
        <v>1</v>
      </c>
      <c r="Q622" s="2">
        <v>0</v>
      </c>
      <c r="R622" s="2">
        <v>0</v>
      </c>
      <c r="S622" s="6"/>
      <c r="T622" s="7"/>
      <c r="U622" s="3"/>
    </row>
    <row r="623" spans="1:21">
      <c r="A623" s="2">
        <v>622</v>
      </c>
      <c r="B623" s="2">
        <v>0</v>
      </c>
      <c r="C623" s="2">
        <v>3000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14</v>
      </c>
      <c r="K623" s="2">
        <v>0</v>
      </c>
      <c r="L623" s="2">
        <v>1</v>
      </c>
      <c r="M623" s="2">
        <v>0</v>
      </c>
      <c r="N623" s="2">
        <v>1</v>
      </c>
      <c r="O623" s="2">
        <v>0</v>
      </c>
      <c r="P623" s="2">
        <v>1</v>
      </c>
      <c r="Q623" s="2">
        <v>0</v>
      </c>
      <c r="R623" s="2">
        <v>0</v>
      </c>
      <c r="S623" s="6"/>
      <c r="T623" s="7"/>
      <c r="U623" s="3"/>
    </row>
    <row r="624" spans="1:21">
      <c r="A624" s="2">
        <v>623</v>
      </c>
      <c r="B624" s="2">
        <v>0</v>
      </c>
      <c r="C624" s="2">
        <v>41000</v>
      </c>
      <c r="D624" s="2">
        <v>1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16</v>
      </c>
      <c r="K624" s="2">
        <v>0</v>
      </c>
      <c r="L624" s="2">
        <v>1</v>
      </c>
      <c r="M624" s="2">
        <v>0</v>
      </c>
      <c r="N624" s="2">
        <v>1</v>
      </c>
      <c r="O624" s="2">
        <v>1</v>
      </c>
      <c r="P624" s="2">
        <v>1</v>
      </c>
      <c r="Q624" s="2">
        <v>0</v>
      </c>
      <c r="R624" s="2">
        <v>0</v>
      </c>
      <c r="S624" s="6"/>
      <c r="T624" s="7"/>
      <c r="U624" s="3"/>
    </row>
    <row r="625" spans="1:21">
      <c r="A625" s="2">
        <v>624</v>
      </c>
      <c r="B625" s="2">
        <v>0</v>
      </c>
      <c r="C625" s="2">
        <v>33000</v>
      </c>
      <c r="D625" s="2">
        <v>1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4</v>
      </c>
      <c r="K625" s="2">
        <v>0</v>
      </c>
      <c r="L625" s="2">
        <v>1</v>
      </c>
      <c r="M625" s="2">
        <v>0</v>
      </c>
      <c r="N625" s="2">
        <v>1</v>
      </c>
      <c r="O625" s="2">
        <v>1</v>
      </c>
      <c r="P625" s="2">
        <v>1</v>
      </c>
      <c r="Q625" s="2">
        <v>0</v>
      </c>
      <c r="R625" s="2">
        <v>0</v>
      </c>
      <c r="S625" s="6"/>
      <c r="T625" s="7"/>
      <c r="U625" s="3"/>
    </row>
    <row r="626" spans="1:21">
      <c r="A626" s="2">
        <v>625</v>
      </c>
      <c r="B626" s="2">
        <v>1</v>
      </c>
      <c r="C626" s="2">
        <v>75000</v>
      </c>
      <c r="D626" s="2">
        <v>0</v>
      </c>
      <c r="E626" s="2">
        <v>1</v>
      </c>
      <c r="F626" s="2">
        <v>1</v>
      </c>
      <c r="G626" s="2">
        <v>1</v>
      </c>
      <c r="H626" s="2">
        <v>0</v>
      </c>
      <c r="I626" s="2">
        <v>0</v>
      </c>
      <c r="J626" s="2">
        <v>13</v>
      </c>
      <c r="K626" s="2">
        <v>0</v>
      </c>
      <c r="L626" s="2">
        <v>1</v>
      </c>
      <c r="M626" s="2">
        <v>1</v>
      </c>
      <c r="N626" s="2">
        <v>1</v>
      </c>
      <c r="O626" s="2">
        <v>0</v>
      </c>
      <c r="P626" s="2">
        <v>1</v>
      </c>
      <c r="Q626" s="2">
        <v>0</v>
      </c>
      <c r="R626" s="2">
        <v>0</v>
      </c>
      <c r="S626" s="6"/>
      <c r="T626" s="7"/>
      <c r="U626" s="3"/>
    </row>
    <row r="627" spans="1:21">
      <c r="A627" s="2">
        <v>626</v>
      </c>
      <c r="B627" s="2">
        <v>0</v>
      </c>
      <c r="C627" s="2">
        <v>5000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7</v>
      </c>
      <c r="K627" s="2">
        <v>0</v>
      </c>
      <c r="L627" s="2">
        <v>1</v>
      </c>
      <c r="M627" s="2">
        <v>0</v>
      </c>
      <c r="N627" s="2">
        <v>1</v>
      </c>
      <c r="O627" s="2">
        <v>1</v>
      </c>
      <c r="P627" s="2">
        <v>1</v>
      </c>
      <c r="Q627" s="2">
        <v>0</v>
      </c>
      <c r="R627" s="2">
        <v>0</v>
      </c>
      <c r="S627" s="6"/>
      <c r="T627" s="7"/>
      <c r="U627" s="3"/>
    </row>
    <row r="628" spans="1:21">
      <c r="A628" s="2">
        <v>627</v>
      </c>
      <c r="B628" s="2">
        <v>0</v>
      </c>
      <c r="C628" s="2">
        <v>20000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18</v>
      </c>
      <c r="K628" s="2">
        <v>0</v>
      </c>
      <c r="L628" s="2">
        <v>0</v>
      </c>
      <c r="M628" s="2">
        <v>0</v>
      </c>
      <c r="N628" s="2">
        <v>1</v>
      </c>
      <c r="O628" s="2">
        <v>0</v>
      </c>
      <c r="P628" s="2">
        <v>1</v>
      </c>
      <c r="Q628" s="2">
        <v>0</v>
      </c>
      <c r="R628" s="2">
        <v>0</v>
      </c>
      <c r="S628" s="6"/>
      <c r="T628" s="7"/>
      <c r="U628" s="3"/>
    </row>
    <row r="629" spans="1:21">
      <c r="A629" s="2">
        <v>628</v>
      </c>
      <c r="B629" s="2">
        <v>0</v>
      </c>
      <c r="C629" s="2">
        <v>23000</v>
      </c>
      <c r="D629" s="2">
        <v>1</v>
      </c>
      <c r="E629" s="2">
        <v>1</v>
      </c>
      <c r="F629" s="2">
        <v>0</v>
      </c>
      <c r="G629" s="2">
        <v>0</v>
      </c>
      <c r="H629" s="2">
        <v>0</v>
      </c>
      <c r="I629" s="2">
        <v>0</v>
      </c>
      <c r="J629" s="2">
        <v>27</v>
      </c>
      <c r="K629" s="2">
        <v>1</v>
      </c>
      <c r="L629" s="2">
        <v>1</v>
      </c>
      <c r="M629" s="2">
        <v>0</v>
      </c>
      <c r="N629" s="2">
        <v>0</v>
      </c>
      <c r="O629" s="2">
        <v>0</v>
      </c>
      <c r="P629" s="2">
        <v>1</v>
      </c>
      <c r="Q629" s="2">
        <v>0</v>
      </c>
      <c r="R629" s="2">
        <v>0</v>
      </c>
      <c r="S629" s="6"/>
      <c r="T629" s="7"/>
      <c r="U629" s="3"/>
    </row>
    <row r="630" spans="1:21">
      <c r="A630" s="2">
        <v>629</v>
      </c>
      <c r="B630" s="2">
        <v>0</v>
      </c>
      <c r="C630" s="2">
        <v>24000</v>
      </c>
      <c r="D630" s="2">
        <v>0</v>
      </c>
      <c r="E630" s="2">
        <v>0</v>
      </c>
      <c r="F630" s="2">
        <v>0</v>
      </c>
      <c r="G630" s="2">
        <v>1</v>
      </c>
      <c r="H630" s="2">
        <v>0</v>
      </c>
      <c r="I630" s="2">
        <v>0</v>
      </c>
      <c r="J630" s="2">
        <v>5</v>
      </c>
      <c r="K630" s="2">
        <v>0</v>
      </c>
      <c r="L630" s="2">
        <v>0</v>
      </c>
      <c r="M630" s="2">
        <v>0</v>
      </c>
      <c r="N630" s="2">
        <v>0</v>
      </c>
      <c r="O630" s="2">
        <v>1</v>
      </c>
      <c r="P630" s="2">
        <v>1</v>
      </c>
      <c r="Q630" s="2">
        <v>0</v>
      </c>
      <c r="R630" s="2">
        <v>0</v>
      </c>
      <c r="S630" s="6"/>
      <c r="T630" s="7"/>
      <c r="U630" s="3"/>
    </row>
    <row r="631" spans="1:21">
      <c r="A631" s="2">
        <v>630</v>
      </c>
      <c r="B631" s="2">
        <v>0</v>
      </c>
      <c r="C631" s="2">
        <v>30000</v>
      </c>
      <c r="D631" s="2">
        <v>0</v>
      </c>
      <c r="E631" s="2">
        <v>1</v>
      </c>
      <c r="F631" s="2">
        <v>0</v>
      </c>
      <c r="G631" s="2">
        <v>0</v>
      </c>
      <c r="H631" s="2">
        <v>0</v>
      </c>
      <c r="I631" s="2">
        <v>0</v>
      </c>
      <c r="J631" s="2">
        <v>13</v>
      </c>
      <c r="K631" s="2">
        <v>1</v>
      </c>
      <c r="L631" s="2">
        <v>0</v>
      </c>
      <c r="M631" s="2">
        <v>0</v>
      </c>
      <c r="N631" s="2">
        <v>0</v>
      </c>
      <c r="O631" s="2">
        <v>1</v>
      </c>
      <c r="P631" s="2">
        <v>1</v>
      </c>
      <c r="Q631" s="2">
        <v>0</v>
      </c>
      <c r="R631" s="2">
        <v>0</v>
      </c>
      <c r="S631" s="6"/>
      <c r="T631" s="7"/>
      <c r="U631" s="3"/>
    </row>
    <row r="632" spans="1:21">
      <c r="A632" s="2">
        <v>631</v>
      </c>
      <c r="B632" s="2">
        <v>0</v>
      </c>
      <c r="C632" s="2">
        <v>18000</v>
      </c>
      <c r="D632" s="2">
        <v>1</v>
      </c>
      <c r="E632" s="2">
        <v>1</v>
      </c>
      <c r="F632" s="2">
        <v>0</v>
      </c>
      <c r="G632" s="2">
        <v>0</v>
      </c>
      <c r="H632" s="2">
        <v>0</v>
      </c>
      <c r="I632" s="2">
        <v>0</v>
      </c>
      <c r="J632" s="2">
        <v>4</v>
      </c>
      <c r="K632" s="2">
        <v>1</v>
      </c>
      <c r="L632" s="2">
        <v>1</v>
      </c>
      <c r="M632" s="2">
        <v>0</v>
      </c>
      <c r="N632" s="2">
        <v>0</v>
      </c>
      <c r="O632" s="2">
        <v>0</v>
      </c>
      <c r="P632" s="2">
        <v>1</v>
      </c>
      <c r="Q632" s="2">
        <v>0</v>
      </c>
      <c r="R632" s="2">
        <v>0</v>
      </c>
      <c r="S632" s="6"/>
      <c r="T632" s="7"/>
      <c r="U632" s="3"/>
    </row>
    <row r="633" spans="1:21">
      <c r="A633" s="2">
        <v>632</v>
      </c>
      <c r="B633" s="2">
        <v>0</v>
      </c>
      <c r="C633" s="2">
        <v>19000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28</v>
      </c>
      <c r="K633" s="2">
        <v>0</v>
      </c>
      <c r="L633" s="2">
        <v>0</v>
      </c>
      <c r="M633" s="2">
        <v>0</v>
      </c>
      <c r="N633" s="2">
        <v>0</v>
      </c>
      <c r="O633" s="2">
        <v>1</v>
      </c>
      <c r="P633" s="2">
        <v>1</v>
      </c>
      <c r="Q633" s="2">
        <v>0</v>
      </c>
      <c r="R633" s="2">
        <v>0</v>
      </c>
      <c r="S633" s="6"/>
      <c r="T633" s="7"/>
      <c r="U633" s="3"/>
    </row>
    <row r="634" spans="1:21">
      <c r="A634" s="2">
        <v>633</v>
      </c>
      <c r="B634" s="2">
        <v>0</v>
      </c>
      <c r="C634" s="2">
        <v>27000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18</v>
      </c>
      <c r="K634" s="2">
        <v>0</v>
      </c>
      <c r="L634" s="2">
        <v>0</v>
      </c>
      <c r="M634" s="2">
        <v>0</v>
      </c>
      <c r="N634" s="2">
        <v>1</v>
      </c>
      <c r="O634" s="2">
        <v>1</v>
      </c>
      <c r="P634" s="2">
        <v>1</v>
      </c>
      <c r="Q634" s="2">
        <v>0</v>
      </c>
      <c r="R634" s="2">
        <v>0</v>
      </c>
      <c r="S634" s="6"/>
      <c r="T634" s="7"/>
      <c r="U634" s="3"/>
    </row>
    <row r="635" spans="1:21">
      <c r="A635" s="2">
        <v>634</v>
      </c>
      <c r="B635" s="2">
        <v>0</v>
      </c>
      <c r="C635" s="2">
        <v>10000</v>
      </c>
      <c r="D635" s="2">
        <v>0</v>
      </c>
      <c r="E635" s="2">
        <v>0</v>
      </c>
      <c r="F635" s="2">
        <v>1</v>
      </c>
      <c r="G635" s="2">
        <v>1</v>
      </c>
      <c r="H635" s="2">
        <v>0</v>
      </c>
      <c r="I635" s="2">
        <v>0</v>
      </c>
      <c r="J635" s="2">
        <v>7</v>
      </c>
      <c r="K635" s="2">
        <v>0</v>
      </c>
      <c r="L635" s="2">
        <v>1</v>
      </c>
      <c r="M635" s="2">
        <v>0</v>
      </c>
      <c r="N635" s="2">
        <v>1</v>
      </c>
      <c r="O635" s="2">
        <v>0</v>
      </c>
      <c r="P635" s="2">
        <v>0</v>
      </c>
      <c r="Q635" s="2">
        <v>0</v>
      </c>
      <c r="R635" s="2">
        <v>0</v>
      </c>
      <c r="S635" s="6"/>
      <c r="T635" s="7"/>
      <c r="U635" s="3"/>
    </row>
    <row r="636" spans="1:21">
      <c r="A636" s="2">
        <v>635</v>
      </c>
      <c r="B636" s="2">
        <v>0</v>
      </c>
      <c r="C636" s="2">
        <v>46000</v>
      </c>
      <c r="D636" s="2">
        <v>0</v>
      </c>
      <c r="E636" s="2">
        <v>0</v>
      </c>
      <c r="F636" s="2">
        <v>1</v>
      </c>
      <c r="G636" s="2">
        <v>1</v>
      </c>
      <c r="H636" s="2">
        <v>0</v>
      </c>
      <c r="I636" s="2">
        <v>0</v>
      </c>
      <c r="J636" s="2">
        <v>3</v>
      </c>
      <c r="K636" s="2">
        <v>0</v>
      </c>
      <c r="L636" s="2">
        <v>0</v>
      </c>
      <c r="M636" s="2">
        <v>0</v>
      </c>
      <c r="N636" s="2">
        <v>0</v>
      </c>
      <c r="O636" s="2">
        <v>1</v>
      </c>
      <c r="P636" s="2">
        <v>1</v>
      </c>
      <c r="Q636" s="2">
        <v>0</v>
      </c>
      <c r="R636" s="2">
        <v>1</v>
      </c>
      <c r="S636" s="6"/>
      <c r="T636" s="7"/>
      <c r="U636" s="3"/>
    </row>
    <row r="637" spans="1:21">
      <c r="A637" s="2">
        <v>636</v>
      </c>
      <c r="B637" s="2">
        <v>0</v>
      </c>
      <c r="C637" s="2">
        <v>27000</v>
      </c>
      <c r="D637" s="2">
        <v>1</v>
      </c>
      <c r="E637" s="2">
        <v>0</v>
      </c>
      <c r="F637" s="2">
        <v>0</v>
      </c>
      <c r="G637" s="2">
        <v>1</v>
      </c>
      <c r="H637" s="2">
        <v>0</v>
      </c>
      <c r="I637" s="2">
        <v>0</v>
      </c>
      <c r="J637" s="2">
        <v>8</v>
      </c>
      <c r="K637" s="2">
        <v>0</v>
      </c>
      <c r="L637" s="2">
        <v>0</v>
      </c>
      <c r="M637" s="2">
        <v>0</v>
      </c>
      <c r="N637" s="2">
        <v>0</v>
      </c>
      <c r="O637" s="2">
        <v>1</v>
      </c>
      <c r="P637" s="2">
        <v>1</v>
      </c>
      <c r="Q637" s="2">
        <v>0</v>
      </c>
      <c r="R637" s="2">
        <v>0</v>
      </c>
      <c r="S637" s="6"/>
      <c r="T637" s="7"/>
      <c r="U637" s="3"/>
    </row>
    <row r="638" spans="1:21">
      <c r="A638" s="2">
        <v>637</v>
      </c>
      <c r="B638" s="2">
        <v>0</v>
      </c>
      <c r="C638" s="2">
        <v>29000</v>
      </c>
      <c r="D638" s="2">
        <v>0</v>
      </c>
      <c r="E638" s="2">
        <v>1</v>
      </c>
      <c r="F638" s="2">
        <v>0</v>
      </c>
      <c r="G638" s="2">
        <v>0</v>
      </c>
      <c r="H638" s="2">
        <v>1</v>
      </c>
      <c r="I638" s="2">
        <v>0</v>
      </c>
      <c r="J638" s="2">
        <v>19</v>
      </c>
      <c r="K638" s="2">
        <v>0</v>
      </c>
      <c r="L638" s="2">
        <v>0</v>
      </c>
      <c r="M638" s="2">
        <v>1</v>
      </c>
      <c r="N638" s="2">
        <v>1</v>
      </c>
      <c r="O638" s="2">
        <v>1</v>
      </c>
      <c r="P638" s="2">
        <v>1</v>
      </c>
      <c r="Q638" s="2">
        <v>0</v>
      </c>
      <c r="R638" s="2">
        <v>0</v>
      </c>
      <c r="S638" s="6"/>
      <c r="T638" s="7"/>
      <c r="U638" s="3"/>
    </row>
    <row r="639" spans="1:21">
      <c r="A639" s="2">
        <v>638</v>
      </c>
      <c r="B639" s="2">
        <v>0</v>
      </c>
      <c r="C639" s="2">
        <v>35000</v>
      </c>
      <c r="D639" s="2">
        <v>1</v>
      </c>
      <c r="E639" s="2">
        <v>1</v>
      </c>
      <c r="F639" s="2">
        <v>0</v>
      </c>
      <c r="G639" s="2">
        <v>0</v>
      </c>
      <c r="H639" s="2">
        <v>0</v>
      </c>
      <c r="I639" s="2">
        <v>0</v>
      </c>
      <c r="J639" s="2">
        <v>25</v>
      </c>
      <c r="K639" s="2">
        <v>0</v>
      </c>
      <c r="L639" s="2">
        <v>1</v>
      </c>
      <c r="M639" s="2">
        <v>0</v>
      </c>
      <c r="N639" s="2">
        <v>0</v>
      </c>
      <c r="O639" s="2">
        <v>1</v>
      </c>
      <c r="P639" s="2">
        <v>1</v>
      </c>
      <c r="Q639" s="2">
        <v>0</v>
      </c>
      <c r="R639" s="2">
        <v>0</v>
      </c>
      <c r="S639" s="6"/>
      <c r="T639" s="7"/>
      <c r="U639" s="3"/>
    </row>
    <row r="640" spans="1:21">
      <c r="A640" s="2">
        <v>639</v>
      </c>
      <c r="B640" s="2">
        <v>1</v>
      </c>
      <c r="C640" s="2">
        <v>75000</v>
      </c>
      <c r="D640" s="2">
        <v>1</v>
      </c>
      <c r="E640" s="2">
        <v>1</v>
      </c>
      <c r="F640" s="2">
        <v>0</v>
      </c>
      <c r="G640" s="2">
        <v>0</v>
      </c>
      <c r="H640" s="2">
        <v>0</v>
      </c>
      <c r="I640" s="2">
        <v>0</v>
      </c>
      <c r="J640" s="2">
        <v>24</v>
      </c>
      <c r="K640" s="2">
        <v>1</v>
      </c>
      <c r="L640" s="2">
        <v>0</v>
      </c>
      <c r="M640" s="2">
        <v>1</v>
      </c>
      <c r="N640" s="2">
        <v>1</v>
      </c>
      <c r="O640" s="2">
        <v>0</v>
      </c>
      <c r="P640" s="2">
        <v>1</v>
      </c>
      <c r="Q640" s="2">
        <v>1</v>
      </c>
      <c r="R640" s="2">
        <v>0</v>
      </c>
      <c r="S640" s="6"/>
      <c r="T640" s="7"/>
      <c r="U640" s="3"/>
    </row>
    <row r="641" spans="1:21">
      <c r="A641" s="2">
        <v>640</v>
      </c>
      <c r="B641" s="2">
        <v>0</v>
      </c>
      <c r="C641" s="2">
        <v>37000</v>
      </c>
      <c r="D641" s="2">
        <v>1</v>
      </c>
      <c r="E641" s="2">
        <v>0</v>
      </c>
      <c r="F641" s="2">
        <v>1</v>
      </c>
      <c r="G641" s="2">
        <v>1</v>
      </c>
      <c r="H641" s="2">
        <v>0</v>
      </c>
      <c r="I641" s="2">
        <v>0</v>
      </c>
      <c r="J641" s="2">
        <v>11</v>
      </c>
      <c r="K641" s="2">
        <v>0</v>
      </c>
      <c r="L641" s="2">
        <v>0</v>
      </c>
      <c r="M641" s="2">
        <v>0</v>
      </c>
      <c r="N641" s="2">
        <v>0</v>
      </c>
      <c r="O641" s="2">
        <v>1</v>
      </c>
      <c r="P641" s="2">
        <v>1</v>
      </c>
      <c r="Q641" s="2">
        <v>0</v>
      </c>
      <c r="R641" s="2">
        <v>0</v>
      </c>
      <c r="S641" s="6"/>
      <c r="T641" s="7"/>
      <c r="U641" s="3"/>
    </row>
    <row r="642" spans="1:21">
      <c r="A642" s="2">
        <v>641</v>
      </c>
      <c r="B642" s="2">
        <v>0</v>
      </c>
      <c r="C642" s="2">
        <v>28000</v>
      </c>
      <c r="D642" s="2">
        <v>1</v>
      </c>
      <c r="E642" s="2">
        <v>0</v>
      </c>
      <c r="F642" s="2">
        <v>0</v>
      </c>
      <c r="G642" s="2">
        <v>0</v>
      </c>
      <c r="H642" s="2">
        <v>1</v>
      </c>
      <c r="I642" s="2">
        <v>0</v>
      </c>
      <c r="J642" s="2">
        <v>14</v>
      </c>
      <c r="K642" s="2">
        <v>0</v>
      </c>
      <c r="L642" s="2">
        <v>0</v>
      </c>
      <c r="M642" s="2">
        <v>1</v>
      </c>
      <c r="N642" s="2">
        <v>1</v>
      </c>
      <c r="O642" s="2">
        <v>1</v>
      </c>
      <c r="P642" s="2">
        <v>1</v>
      </c>
      <c r="Q642" s="2">
        <v>0</v>
      </c>
      <c r="R642" s="2">
        <v>0</v>
      </c>
      <c r="S642" s="6"/>
      <c r="T642" s="7"/>
      <c r="U642" s="3"/>
    </row>
    <row r="643" spans="1:21">
      <c r="A643" s="2">
        <v>642</v>
      </c>
      <c r="B643" s="2">
        <v>1</v>
      </c>
      <c r="C643" s="2">
        <v>67000</v>
      </c>
      <c r="D643" s="2">
        <v>1</v>
      </c>
      <c r="E643" s="2">
        <v>0</v>
      </c>
      <c r="F643" s="2">
        <v>0</v>
      </c>
      <c r="G643" s="2">
        <v>1</v>
      </c>
      <c r="H643" s="2">
        <v>0</v>
      </c>
      <c r="I643" s="2">
        <v>0</v>
      </c>
      <c r="J643" s="2">
        <v>23</v>
      </c>
      <c r="K643" s="2">
        <v>0</v>
      </c>
      <c r="L643" s="2">
        <v>0</v>
      </c>
      <c r="M643" s="2">
        <v>0</v>
      </c>
      <c r="N643" s="2">
        <v>1</v>
      </c>
      <c r="O643" s="2">
        <v>1</v>
      </c>
      <c r="P643" s="2">
        <v>1</v>
      </c>
      <c r="Q643" s="2">
        <v>0</v>
      </c>
      <c r="R643" s="2">
        <v>0</v>
      </c>
      <c r="S643" s="6"/>
      <c r="T643" s="7"/>
      <c r="U643" s="3"/>
    </row>
    <row r="644" spans="1:21">
      <c r="A644" s="2">
        <v>643</v>
      </c>
      <c r="B644" s="2">
        <v>1</v>
      </c>
      <c r="C644" s="2">
        <v>75000</v>
      </c>
      <c r="D644" s="2">
        <v>0</v>
      </c>
      <c r="E644" s="2">
        <v>1</v>
      </c>
      <c r="F644" s="2">
        <v>1</v>
      </c>
      <c r="G644" s="2">
        <v>1</v>
      </c>
      <c r="H644" s="2">
        <v>0</v>
      </c>
      <c r="I644" s="2">
        <v>0</v>
      </c>
      <c r="J644" s="2">
        <v>25</v>
      </c>
      <c r="K644" s="2">
        <v>1</v>
      </c>
      <c r="L644" s="2">
        <v>1</v>
      </c>
      <c r="M644" s="2">
        <v>1</v>
      </c>
      <c r="N644" s="2">
        <v>1</v>
      </c>
      <c r="O644" s="2">
        <v>0</v>
      </c>
      <c r="P644" s="2">
        <v>1</v>
      </c>
      <c r="Q644" s="2">
        <v>0</v>
      </c>
      <c r="R644" s="2">
        <v>0</v>
      </c>
      <c r="S644" s="6"/>
      <c r="T644" s="7"/>
      <c r="U644" s="3"/>
    </row>
    <row r="645" spans="1:21">
      <c r="A645" s="2">
        <v>644</v>
      </c>
      <c r="B645" s="2">
        <v>0</v>
      </c>
      <c r="C645" s="2">
        <v>8000</v>
      </c>
      <c r="D645" s="2">
        <v>1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20</v>
      </c>
      <c r="K645" s="2">
        <v>0</v>
      </c>
      <c r="L645" s="2">
        <v>1</v>
      </c>
      <c r="M645" s="2">
        <v>0</v>
      </c>
      <c r="N645" s="2">
        <v>1</v>
      </c>
      <c r="O645" s="2">
        <v>1</v>
      </c>
      <c r="P645" s="2">
        <v>1</v>
      </c>
      <c r="Q645" s="2">
        <v>0</v>
      </c>
      <c r="R645" s="2">
        <v>0</v>
      </c>
      <c r="S645" s="6"/>
      <c r="T645" s="7"/>
      <c r="U645" s="3"/>
    </row>
    <row r="646" spans="1:21">
      <c r="A646" s="2">
        <v>645</v>
      </c>
      <c r="B646" s="2">
        <v>1</v>
      </c>
      <c r="C646" s="2">
        <v>73000</v>
      </c>
      <c r="D646" s="2">
        <v>0</v>
      </c>
      <c r="E646" s="2">
        <v>1</v>
      </c>
      <c r="F646" s="2">
        <v>0</v>
      </c>
      <c r="G646" s="2">
        <v>1</v>
      </c>
      <c r="H646" s="2">
        <v>0</v>
      </c>
      <c r="I646" s="2">
        <v>0</v>
      </c>
      <c r="J646" s="2">
        <v>22</v>
      </c>
      <c r="K646" s="2">
        <v>1</v>
      </c>
      <c r="L646" s="2">
        <v>1</v>
      </c>
      <c r="M646" s="2">
        <v>1</v>
      </c>
      <c r="N646" s="2">
        <v>1</v>
      </c>
      <c r="O646" s="2">
        <v>0</v>
      </c>
      <c r="P646" s="2">
        <v>1</v>
      </c>
      <c r="Q646" s="2">
        <v>0</v>
      </c>
      <c r="R646" s="2">
        <v>0</v>
      </c>
      <c r="S646" s="6"/>
      <c r="T646" s="7"/>
      <c r="U646" s="3"/>
    </row>
    <row r="647" spans="1:21">
      <c r="A647" s="2">
        <v>646</v>
      </c>
      <c r="B647" s="2">
        <v>0</v>
      </c>
      <c r="C647" s="2">
        <v>22000</v>
      </c>
      <c r="D647" s="2">
        <v>1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41</v>
      </c>
      <c r="K647" s="2">
        <v>0</v>
      </c>
      <c r="L647" s="2">
        <v>0</v>
      </c>
      <c r="M647" s="2">
        <v>0</v>
      </c>
      <c r="N647" s="2">
        <v>0</v>
      </c>
      <c r="O647" s="2">
        <v>1</v>
      </c>
      <c r="P647" s="2">
        <v>1</v>
      </c>
      <c r="Q647" s="2">
        <v>0</v>
      </c>
      <c r="R647" s="2">
        <v>0</v>
      </c>
      <c r="S647" s="6"/>
      <c r="T647" s="7"/>
      <c r="U647" s="3"/>
    </row>
    <row r="648" spans="1:21">
      <c r="A648" s="2">
        <v>647</v>
      </c>
      <c r="B648" s="2">
        <v>0</v>
      </c>
      <c r="C648" s="2">
        <v>24000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2</v>
      </c>
      <c r="K648" s="2">
        <v>0</v>
      </c>
      <c r="L648" s="2">
        <v>0</v>
      </c>
      <c r="M648" s="2">
        <v>0</v>
      </c>
      <c r="N648" s="2">
        <v>0</v>
      </c>
      <c r="O648" s="2">
        <v>1</v>
      </c>
      <c r="P648" s="2">
        <v>1</v>
      </c>
      <c r="Q648" s="2">
        <v>0</v>
      </c>
      <c r="R648" s="2">
        <v>0</v>
      </c>
      <c r="S648" s="6"/>
      <c r="T648" s="7"/>
      <c r="U648" s="3"/>
    </row>
    <row r="649" spans="1:21">
      <c r="A649" s="2">
        <v>648</v>
      </c>
      <c r="B649" s="2">
        <v>0</v>
      </c>
      <c r="C649" s="2">
        <v>28000</v>
      </c>
      <c r="D649" s="2">
        <v>1</v>
      </c>
      <c r="E649" s="2">
        <v>0</v>
      </c>
      <c r="F649" s="2">
        <v>1</v>
      </c>
      <c r="G649" s="2">
        <v>1</v>
      </c>
      <c r="H649" s="2">
        <v>0</v>
      </c>
      <c r="I649" s="2">
        <v>0</v>
      </c>
      <c r="J649" s="2">
        <v>10</v>
      </c>
      <c r="K649" s="2">
        <v>0</v>
      </c>
      <c r="L649" s="2">
        <v>0</v>
      </c>
      <c r="M649" s="2">
        <v>0</v>
      </c>
      <c r="N649" s="2">
        <v>0</v>
      </c>
      <c r="O649" s="2">
        <v>1</v>
      </c>
      <c r="P649" s="2">
        <v>1</v>
      </c>
      <c r="Q649" s="2">
        <v>0</v>
      </c>
      <c r="R649" s="2">
        <v>0</v>
      </c>
      <c r="S649" s="6"/>
      <c r="T649" s="7"/>
      <c r="U649" s="3"/>
    </row>
    <row r="650" spans="1:21">
      <c r="A650" s="2">
        <v>649</v>
      </c>
      <c r="B650" s="2">
        <v>1</v>
      </c>
      <c r="C650" s="2">
        <v>75000</v>
      </c>
      <c r="D650" s="2">
        <v>1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5</v>
      </c>
      <c r="K650" s="2">
        <v>0</v>
      </c>
      <c r="L650" s="2">
        <v>0</v>
      </c>
      <c r="M650" s="2">
        <v>0</v>
      </c>
      <c r="N650" s="2">
        <v>1</v>
      </c>
      <c r="O650" s="2">
        <v>1</v>
      </c>
      <c r="P650" s="2">
        <v>1</v>
      </c>
      <c r="Q650" s="2">
        <v>0</v>
      </c>
      <c r="R650" s="2">
        <v>0</v>
      </c>
      <c r="S650" s="6"/>
      <c r="T650" s="7"/>
      <c r="U650" s="3"/>
    </row>
    <row r="651" spans="1:21">
      <c r="A651" s="2">
        <v>650</v>
      </c>
      <c r="B651" s="2">
        <v>0</v>
      </c>
      <c r="C651" s="2">
        <v>14000</v>
      </c>
      <c r="D651" s="2">
        <v>0</v>
      </c>
      <c r="E651" s="2">
        <v>0</v>
      </c>
      <c r="F651" s="2">
        <v>1</v>
      </c>
      <c r="G651" s="2">
        <v>1</v>
      </c>
      <c r="H651" s="2">
        <v>0</v>
      </c>
      <c r="I651" s="2">
        <v>0</v>
      </c>
      <c r="J651" s="2">
        <v>10</v>
      </c>
      <c r="K651" s="2">
        <v>0</v>
      </c>
      <c r="L651" s="2">
        <v>0</v>
      </c>
      <c r="M651" s="2">
        <v>0</v>
      </c>
      <c r="N651" s="2">
        <v>0</v>
      </c>
      <c r="O651" s="2">
        <v>1</v>
      </c>
      <c r="P651" s="2">
        <v>1</v>
      </c>
      <c r="Q651" s="2">
        <v>0</v>
      </c>
      <c r="R651" s="2">
        <v>0</v>
      </c>
      <c r="S651" s="6"/>
      <c r="T651" s="7"/>
      <c r="U651" s="3"/>
    </row>
    <row r="652" spans="1:21">
      <c r="A652" s="2">
        <v>651</v>
      </c>
      <c r="B652" s="2">
        <v>0</v>
      </c>
      <c r="C652" s="2">
        <v>47000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10</v>
      </c>
      <c r="K652" s="2">
        <v>0</v>
      </c>
      <c r="L652" s="2">
        <v>0</v>
      </c>
      <c r="M652" s="2">
        <v>0</v>
      </c>
      <c r="N652" s="2">
        <v>1</v>
      </c>
      <c r="O652" s="2">
        <v>1</v>
      </c>
      <c r="P652" s="2">
        <v>1</v>
      </c>
      <c r="Q652" s="2">
        <v>0</v>
      </c>
      <c r="R652" s="2">
        <v>0</v>
      </c>
      <c r="S652" s="6"/>
      <c r="T652" s="7"/>
      <c r="U652" s="3"/>
    </row>
    <row r="653" spans="1:21">
      <c r="A653" s="2">
        <v>652</v>
      </c>
      <c r="B653" s="2">
        <v>0</v>
      </c>
      <c r="C653" s="2">
        <v>8000</v>
      </c>
      <c r="D653" s="2">
        <v>1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19</v>
      </c>
      <c r="K653" s="2">
        <v>0</v>
      </c>
      <c r="L653" s="2">
        <v>0</v>
      </c>
      <c r="M653" s="2">
        <v>0</v>
      </c>
      <c r="N653" s="2">
        <v>1</v>
      </c>
      <c r="O653" s="2">
        <v>0</v>
      </c>
      <c r="P653" s="2">
        <v>1</v>
      </c>
      <c r="Q653" s="2">
        <v>0</v>
      </c>
      <c r="R653" s="2">
        <v>0</v>
      </c>
      <c r="S653" s="6"/>
      <c r="T653" s="7"/>
      <c r="U653" s="3"/>
    </row>
    <row r="654" spans="1:21">
      <c r="A654" s="2">
        <v>653</v>
      </c>
      <c r="B654" s="2">
        <v>0</v>
      </c>
      <c r="C654" s="2">
        <v>15000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9</v>
      </c>
      <c r="K654" s="2">
        <v>0</v>
      </c>
      <c r="L654" s="2">
        <v>0</v>
      </c>
      <c r="M654" s="2">
        <v>0</v>
      </c>
      <c r="N654" s="2">
        <v>0</v>
      </c>
      <c r="O654" s="2">
        <v>1</v>
      </c>
      <c r="P654" s="2">
        <v>1</v>
      </c>
      <c r="Q654" s="2">
        <v>0</v>
      </c>
      <c r="R654" s="2">
        <v>0</v>
      </c>
      <c r="S654" s="6"/>
      <c r="T654" s="7"/>
      <c r="U654" s="3"/>
    </row>
    <row r="655" spans="1:21">
      <c r="A655" s="2">
        <v>654</v>
      </c>
      <c r="B655" s="2">
        <v>0</v>
      </c>
      <c r="C655" s="2">
        <v>10000</v>
      </c>
      <c r="D655" s="2">
        <v>1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23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1</v>
      </c>
      <c r="Q655" s="2">
        <v>0</v>
      </c>
      <c r="R655" s="2">
        <v>0</v>
      </c>
      <c r="S655" s="6"/>
      <c r="T655" s="7"/>
      <c r="U655" s="3"/>
    </row>
    <row r="656" spans="1:21">
      <c r="A656" s="2">
        <v>655</v>
      </c>
      <c r="B656" s="2">
        <v>1</v>
      </c>
      <c r="C656" s="2">
        <v>75000</v>
      </c>
      <c r="D656" s="2">
        <v>0</v>
      </c>
      <c r="E656" s="2">
        <v>1</v>
      </c>
      <c r="F656" s="2">
        <v>0</v>
      </c>
      <c r="G656" s="2">
        <v>1</v>
      </c>
      <c r="H656" s="2">
        <v>0</v>
      </c>
      <c r="I656" s="2">
        <v>0</v>
      </c>
      <c r="J656" s="2">
        <v>8</v>
      </c>
      <c r="K656" s="2">
        <v>1</v>
      </c>
      <c r="L656" s="2">
        <v>1</v>
      </c>
      <c r="M656" s="2">
        <v>0</v>
      </c>
      <c r="N656" s="2">
        <v>1</v>
      </c>
      <c r="O656" s="2">
        <v>1</v>
      </c>
      <c r="P656" s="2">
        <v>1</v>
      </c>
      <c r="Q656" s="2">
        <v>0</v>
      </c>
      <c r="R656" s="2">
        <v>0</v>
      </c>
      <c r="S656" s="6"/>
      <c r="T656" s="7"/>
      <c r="U656" s="3"/>
    </row>
    <row r="657" spans="1:21">
      <c r="A657" s="2">
        <v>656</v>
      </c>
      <c r="B657" s="2">
        <v>0</v>
      </c>
      <c r="C657" s="2">
        <v>72000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2">
        <v>0</v>
      </c>
      <c r="J657" s="2">
        <v>54</v>
      </c>
      <c r="K657" s="2">
        <v>0</v>
      </c>
      <c r="L657" s="2">
        <v>0</v>
      </c>
      <c r="M657" s="2">
        <v>1</v>
      </c>
      <c r="N657" s="2">
        <v>1</v>
      </c>
      <c r="O657" s="2">
        <v>1</v>
      </c>
      <c r="P657" s="2">
        <v>1</v>
      </c>
      <c r="Q657" s="2">
        <v>0</v>
      </c>
      <c r="R657" s="2">
        <v>0</v>
      </c>
      <c r="S657" s="6"/>
      <c r="T657" s="7"/>
      <c r="U657" s="3"/>
    </row>
    <row r="658" spans="1:21">
      <c r="A658" s="2">
        <v>657</v>
      </c>
      <c r="B658" s="2">
        <v>0</v>
      </c>
      <c r="C658" s="2">
        <v>33000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14</v>
      </c>
      <c r="K658" s="2">
        <v>0</v>
      </c>
      <c r="L658" s="2">
        <v>1</v>
      </c>
      <c r="M658" s="2">
        <v>0</v>
      </c>
      <c r="N658" s="2">
        <v>1</v>
      </c>
      <c r="O658" s="2">
        <v>0</v>
      </c>
      <c r="P658" s="2">
        <v>1</v>
      </c>
      <c r="Q658" s="2">
        <v>0</v>
      </c>
      <c r="R658" s="2">
        <v>0</v>
      </c>
      <c r="S658" s="6"/>
      <c r="T658" s="7"/>
      <c r="U658" s="3"/>
    </row>
    <row r="659" spans="1:21">
      <c r="A659" s="2">
        <v>658</v>
      </c>
      <c r="B659" s="2">
        <v>0</v>
      </c>
      <c r="C659" s="2">
        <v>58000</v>
      </c>
      <c r="D659" s="2">
        <v>0</v>
      </c>
      <c r="E659" s="2">
        <v>1</v>
      </c>
      <c r="F659" s="2">
        <v>1</v>
      </c>
      <c r="G659" s="2">
        <v>1</v>
      </c>
      <c r="H659" s="2">
        <v>0</v>
      </c>
      <c r="I659" s="2">
        <v>0</v>
      </c>
      <c r="J659" s="2">
        <v>9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>
        <v>1</v>
      </c>
      <c r="Q659" s="2">
        <v>0</v>
      </c>
      <c r="R659" s="2">
        <v>0</v>
      </c>
      <c r="S659" s="6"/>
      <c r="T659" s="7"/>
      <c r="U659" s="3"/>
    </row>
    <row r="660" spans="1:21">
      <c r="A660" s="2">
        <v>659</v>
      </c>
      <c r="B660" s="2">
        <v>1</v>
      </c>
      <c r="C660" s="2">
        <v>49000</v>
      </c>
      <c r="D660" s="2">
        <v>1</v>
      </c>
      <c r="E660" s="2">
        <v>1</v>
      </c>
      <c r="F660" s="2">
        <v>0</v>
      </c>
      <c r="G660" s="2">
        <v>0</v>
      </c>
      <c r="H660" s="2">
        <v>0</v>
      </c>
      <c r="I660" s="2">
        <v>0</v>
      </c>
      <c r="J660" s="2">
        <v>15</v>
      </c>
      <c r="K660" s="2">
        <v>0</v>
      </c>
      <c r="L660" s="2">
        <v>1</v>
      </c>
      <c r="M660" s="2">
        <v>1</v>
      </c>
      <c r="N660" s="2">
        <v>1</v>
      </c>
      <c r="O660" s="2">
        <v>1</v>
      </c>
      <c r="P660" s="2">
        <v>1</v>
      </c>
      <c r="Q660" s="2">
        <v>0</v>
      </c>
      <c r="R660" s="2">
        <v>0</v>
      </c>
      <c r="S660" s="6"/>
      <c r="T660" s="7"/>
      <c r="U660" s="3"/>
    </row>
    <row r="661" spans="1:21">
      <c r="A661" s="2">
        <v>660</v>
      </c>
      <c r="B661" s="2">
        <v>0</v>
      </c>
      <c r="C661" s="2">
        <v>27000</v>
      </c>
      <c r="D661" s="2">
        <v>1</v>
      </c>
      <c r="E661" s="2">
        <v>1</v>
      </c>
      <c r="F661" s="2">
        <v>0</v>
      </c>
      <c r="G661" s="2">
        <v>0</v>
      </c>
      <c r="H661" s="2">
        <v>1</v>
      </c>
      <c r="I661" s="2">
        <v>0</v>
      </c>
      <c r="J661" s="2">
        <v>28</v>
      </c>
      <c r="K661" s="2">
        <v>0</v>
      </c>
      <c r="L661" s="2">
        <v>0</v>
      </c>
      <c r="M661" s="2">
        <v>1</v>
      </c>
      <c r="N661" s="2">
        <v>1</v>
      </c>
      <c r="O661" s="2">
        <v>1</v>
      </c>
      <c r="P661" s="2">
        <v>1</v>
      </c>
      <c r="Q661" s="2">
        <v>0</v>
      </c>
      <c r="R661" s="2">
        <v>0</v>
      </c>
      <c r="S661" s="6"/>
      <c r="T661" s="7"/>
      <c r="U661" s="3"/>
    </row>
    <row r="662" spans="1:21">
      <c r="A662" s="2">
        <v>661</v>
      </c>
      <c r="B662" s="2">
        <v>0</v>
      </c>
      <c r="C662" s="2">
        <v>4000</v>
      </c>
      <c r="D662" s="2">
        <v>1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20</v>
      </c>
      <c r="K662" s="2">
        <v>0</v>
      </c>
      <c r="L662" s="2">
        <v>1</v>
      </c>
      <c r="M662" s="2">
        <v>0</v>
      </c>
      <c r="N662" s="2">
        <v>1</v>
      </c>
      <c r="O662" s="2">
        <v>1</v>
      </c>
      <c r="P662" s="2">
        <v>1</v>
      </c>
      <c r="Q662" s="2">
        <v>0</v>
      </c>
      <c r="R662" s="2">
        <v>0</v>
      </c>
      <c r="S662" s="6"/>
      <c r="T662" s="7"/>
      <c r="U662" s="3"/>
    </row>
    <row r="663" spans="1:21">
      <c r="A663" s="2">
        <v>662</v>
      </c>
      <c r="B663" s="2">
        <v>0</v>
      </c>
      <c r="C663" s="2">
        <v>40000</v>
      </c>
      <c r="D663" s="2">
        <v>1</v>
      </c>
      <c r="E663" s="2">
        <v>0</v>
      </c>
      <c r="F663" s="2">
        <v>1</v>
      </c>
      <c r="G663" s="2">
        <v>1</v>
      </c>
      <c r="H663" s="2">
        <v>0</v>
      </c>
      <c r="I663" s="2">
        <v>0</v>
      </c>
      <c r="J663" s="2">
        <v>12</v>
      </c>
      <c r="K663" s="2">
        <v>0</v>
      </c>
      <c r="L663" s="2">
        <v>0</v>
      </c>
      <c r="M663" s="2">
        <v>1</v>
      </c>
      <c r="N663" s="2">
        <v>1</v>
      </c>
      <c r="O663" s="2">
        <v>1</v>
      </c>
      <c r="P663" s="2">
        <v>1</v>
      </c>
      <c r="Q663" s="2">
        <v>0</v>
      </c>
      <c r="R663" s="2">
        <v>0</v>
      </c>
      <c r="S663" s="6"/>
      <c r="T663" s="7"/>
      <c r="U663" s="3"/>
    </row>
    <row r="664" spans="1:21">
      <c r="A664" s="2">
        <v>663</v>
      </c>
      <c r="B664" s="2">
        <v>0</v>
      </c>
      <c r="C664" s="2">
        <v>75000</v>
      </c>
      <c r="D664" s="2">
        <v>1</v>
      </c>
      <c r="E664" s="2">
        <v>1</v>
      </c>
      <c r="F664" s="2">
        <v>1</v>
      </c>
      <c r="G664" s="2">
        <v>0</v>
      </c>
      <c r="H664" s="2">
        <v>0</v>
      </c>
      <c r="I664" s="2">
        <v>0</v>
      </c>
      <c r="J664" s="2">
        <v>3</v>
      </c>
      <c r="K664" s="2">
        <v>0</v>
      </c>
      <c r="L664" s="2">
        <v>0</v>
      </c>
      <c r="M664" s="2">
        <v>1</v>
      </c>
      <c r="N664" s="2">
        <v>1</v>
      </c>
      <c r="O664" s="2">
        <v>1</v>
      </c>
      <c r="P664" s="2">
        <v>1</v>
      </c>
      <c r="Q664" s="2">
        <v>0</v>
      </c>
      <c r="R664" s="2">
        <v>0</v>
      </c>
      <c r="S664" s="6"/>
      <c r="T664" s="7"/>
      <c r="U664" s="3"/>
    </row>
    <row r="665" spans="1:21">
      <c r="A665" s="2">
        <v>664</v>
      </c>
      <c r="B665" s="2">
        <v>0</v>
      </c>
      <c r="C665" s="2">
        <v>27000</v>
      </c>
      <c r="D665" s="2">
        <v>1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12</v>
      </c>
      <c r="K665" s="2">
        <v>0</v>
      </c>
      <c r="L665" s="2">
        <v>1</v>
      </c>
      <c r="M665" s="2">
        <v>1</v>
      </c>
      <c r="N665" s="2">
        <v>1</v>
      </c>
      <c r="O665" s="2">
        <v>1</v>
      </c>
      <c r="P665" s="2">
        <v>1</v>
      </c>
      <c r="Q665" s="2">
        <v>0</v>
      </c>
      <c r="R665" s="2">
        <v>0</v>
      </c>
      <c r="S665" s="6"/>
      <c r="T665" s="7"/>
      <c r="U665" s="3"/>
    </row>
    <row r="666" spans="1:21">
      <c r="A666" s="2">
        <v>665</v>
      </c>
      <c r="B666" s="2">
        <v>0</v>
      </c>
      <c r="C666" s="2">
        <v>22000</v>
      </c>
      <c r="D666" s="2">
        <v>0</v>
      </c>
      <c r="E666" s="2">
        <v>0</v>
      </c>
      <c r="F666" s="2">
        <v>0</v>
      </c>
      <c r="G666" s="2">
        <v>1</v>
      </c>
      <c r="H666" s="2">
        <v>0</v>
      </c>
      <c r="I666" s="2">
        <v>0</v>
      </c>
      <c r="J666" s="2">
        <v>8</v>
      </c>
      <c r="K666" s="2">
        <v>0</v>
      </c>
      <c r="L666" s="2">
        <v>1</v>
      </c>
      <c r="M666" s="2">
        <v>1</v>
      </c>
      <c r="N666" s="2">
        <v>1</v>
      </c>
      <c r="O666" s="2">
        <v>0</v>
      </c>
      <c r="P666" s="2">
        <v>1</v>
      </c>
      <c r="Q666" s="2">
        <v>0</v>
      </c>
      <c r="R666" s="2">
        <v>0</v>
      </c>
      <c r="S666" s="6"/>
      <c r="T666" s="7"/>
      <c r="U666" s="3"/>
    </row>
    <row r="667" spans="1:21">
      <c r="A667" s="2">
        <v>666</v>
      </c>
      <c r="B667" s="2">
        <v>0</v>
      </c>
      <c r="C667" s="2">
        <v>8000</v>
      </c>
      <c r="D667" s="2">
        <v>1</v>
      </c>
      <c r="E667" s="2">
        <v>1</v>
      </c>
      <c r="F667" s="2">
        <v>0</v>
      </c>
      <c r="G667" s="2">
        <v>0</v>
      </c>
      <c r="H667" s="2">
        <v>0</v>
      </c>
      <c r="I667" s="2">
        <v>0</v>
      </c>
      <c r="J667" s="2">
        <v>18</v>
      </c>
      <c r="K667" s="2">
        <v>0</v>
      </c>
      <c r="L667" s="2">
        <v>0</v>
      </c>
      <c r="M667" s="2">
        <v>1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  <c r="S667" s="6"/>
      <c r="T667" s="7"/>
      <c r="U667" s="3"/>
    </row>
    <row r="668" spans="1:21">
      <c r="A668" s="2">
        <v>667</v>
      </c>
      <c r="B668" s="2">
        <v>1</v>
      </c>
      <c r="C668" s="2">
        <v>75000</v>
      </c>
      <c r="D668" s="2">
        <v>1</v>
      </c>
      <c r="E668" s="2">
        <v>1</v>
      </c>
      <c r="F668" s="2">
        <v>1</v>
      </c>
      <c r="G668" s="2">
        <v>0</v>
      </c>
      <c r="H668" s="2">
        <v>1</v>
      </c>
      <c r="I668" s="2">
        <v>0</v>
      </c>
      <c r="J668" s="2">
        <v>7</v>
      </c>
      <c r="K668" s="2">
        <v>0</v>
      </c>
      <c r="L668" s="2">
        <v>0</v>
      </c>
      <c r="M668" s="2">
        <v>1</v>
      </c>
      <c r="N668" s="2">
        <v>1</v>
      </c>
      <c r="O668" s="2">
        <v>1</v>
      </c>
      <c r="P668" s="2">
        <v>1</v>
      </c>
      <c r="Q668" s="2">
        <v>0</v>
      </c>
      <c r="R668" s="2">
        <v>0</v>
      </c>
      <c r="S668" s="6"/>
      <c r="T668" s="7"/>
      <c r="U668" s="3"/>
    </row>
    <row r="669" spans="1:21">
      <c r="A669" s="2">
        <v>668</v>
      </c>
      <c r="B669" s="2">
        <v>0</v>
      </c>
      <c r="C669" s="2">
        <v>21000</v>
      </c>
      <c r="D669" s="2">
        <v>0</v>
      </c>
      <c r="E669" s="2">
        <v>1</v>
      </c>
      <c r="F669" s="2">
        <v>0</v>
      </c>
      <c r="G669" s="2">
        <v>0</v>
      </c>
      <c r="H669" s="2">
        <v>0</v>
      </c>
      <c r="I669" s="2">
        <v>0</v>
      </c>
      <c r="J669" s="2">
        <v>20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1</v>
      </c>
      <c r="Q669" s="2">
        <v>0</v>
      </c>
      <c r="R669" s="2">
        <v>0</v>
      </c>
      <c r="S669" s="6"/>
      <c r="T669" s="7"/>
      <c r="U669" s="3"/>
    </row>
    <row r="670" spans="1:21">
      <c r="A670" s="2">
        <v>669</v>
      </c>
      <c r="B670" s="2">
        <v>0</v>
      </c>
      <c r="C670" s="2">
        <v>27000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6</v>
      </c>
      <c r="K670" s="2">
        <v>0</v>
      </c>
      <c r="L670" s="2">
        <v>1</v>
      </c>
      <c r="M670" s="2">
        <v>1</v>
      </c>
      <c r="N670" s="2">
        <v>1</v>
      </c>
      <c r="O670" s="2">
        <v>1</v>
      </c>
      <c r="P670" s="2">
        <v>1</v>
      </c>
      <c r="Q670" s="2">
        <v>0</v>
      </c>
      <c r="R670" s="2">
        <v>0</v>
      </c>
      <c r="S670" s="6"/>
      <c r="T670" s="7"/>
      <c r="U670" s="3"/>
    </row>
    <row r="671" spans="1:21">
      <c r="A671" s="2">
        <v>670</v>
      </c>
      <c r="B671" s="2">
        <v>0</v>
      </c>
      <c r="C671" s="2">
        <v>3000</v>
      </c>
      <c r="D671" s="2">
        <v>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11</v>
      </c>
      <c r="K671" s="2">
        <v>0</v>
      </c>
      <c r="L671" s="2">
        <v>1</v>
      </c>
      <c r="M671" s="2">
        <v>0</v>
      </c>
      <c r="N671" s="2">
        <v>1</v>
      </c>
      <c r="O671" s="2">
        <v>0</v>
      </c>
      <c r="P671" s="2">
        <v>1</v>
      </c>
      <c r="Q671" s="2">
        <v>0</v>
      </c>
      <c r="R671" s="2">
        <v>0</v>
      </c>
      <c r="S671" s="6"/>
      <c r="T671" s="7"/>
      <c r="U671" s="3"/>
    </row>
    <row r="672" spans="1:21">
      <c r="A672" s="2">
        <v>671</v>
      </c>
      <c r="B672" s="2">
        <v>1</v>
      </c>
      <c r="C672" s="2">
        <v>75000</v>
      </c>
      <c r="D672" s="2">
        <v>1</v>
      </c>
      <c r="E672" s="2">
        <v>1</v>
      </c>
      <c r="F672" s="2">
        <v>0</v>
      </c>
      <c r="G672" s="2">
        <v>1</v>
      </c>
      <c r="H672" s="2">
        <v>0</v>
      </c>
      <c r="I672" s="2">
        <v>0</v>
      </c>
      <c r="J672" s="2">
        <v>52</v>
      </c>
      <c r="K672" s="2">
        <v>0</v>
      </c>
      <c r="L672" s="2">
        <v>0</v>
      </c>
      <c r="M672" s="2">
        <v>1</v>
      </c>
      <c r="N672" s="2">
        <v>1</v>
      </c>
      <c r="O672" s="2">
        <v>1</v>
      </c>
      <c r="P672" s="2">
        <v>1</v>
      </c>
      <c r="Q672" s="2">
        <v>0</v>
      </c>
      <c r="R672" s="2">
        <v>0</v>
      </c>
      <c r="S672" s="6"/>
      <c r="T672" s="7"/>
      <c r="U672" s="3"/>
    </row>
    <row r="673" spans="1:21">
      <c r="A673" s="2">
        <v>672</v>
      </c>
      <c r="B673" s="2">
        <v>1</v>
      </c>
      <c r="C673" s="2">
        <v>51000</v>
      </c>
      <c r="D673" s="2">
        <v>1</v>
      </c>
      <c r="E673" s="2">
        <v>1</v>
      </c>
      <c r="F673" s="2">
        <v>0</v>
      </c>
      <c r="G673" s="2">
        <v>1</v>
      </c>
      <c r="H673" s="2">
        <v>0</v>
      </c>
      <c r="I673" s="2">
        <v>0</v>
      </c>
      <c r="J673" s="2">
        <v>10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1</v>
      </c>
      <c r="Q673" s="2">
        <v>0</v>
      </c>
      <c r="R673" s="2">
        <v>0</v>
      </c>
      <c r="S673" s="6"/>
      <c r="T673" s="7"/>
      <c r="U673" s="3"/>
    </row>
    <row r="674" spans="1:21">
      <c r="A674" s="2">
        <v>673</v>
      </c>
      <c r="B674" s="2">
        <v>0</v>
      </c>
      <c r="C674" s="2">
        <v>11000</v>
      </c>
      <c r="D674" s="2">
        <v>0</v>
      </c>
      <c r="E674" s="2">
        <v>1</v>
      </c>
      <c r="F674" s="2">
        <v>0</v>
      </c>
      <c r="G674" s="2">
        <v>0</v>
      </c>
      <c r="H674" s="2">
        <v>0</v>
      </c>
      <c r="I674" s="2">
        <v>1</v>
      </c>
      <c r="J674" s="2">
        <v>11</v>
      </c>
      <c r="K674" s="2">
        <v>0</v>
      </c>
      <c r="L674" s="2">
        <v>1</v>
      </c>
      <c r="M674" s="2">
        <v>0</v>
      </c>
      <c r="N674" s="2">
        <v>0</v>
      </c>
      <c r="O674" s="2">
        <v>0</v>
      </c>
      <c r="P674" s="2">
        <v>1</v>
      </c>
      <c r="Q674" s="2">
        <v>0</v>
      </c>
      <c r="R674" s="2">
        <v>0</v>
      </c>
      <c r="S674" s="6"/>
      <c r="T674" s="7"/>
      <c r="U674" s="3"/>
    </row>
    <row r="675" spans="1:21">
      <c r="A675" s="1">
        <v>674</v>
      </c>
      <c r="C675" s="1">
        <v>55000</v>
      </c>
      <c r="D675" s="1">
        <v>1</v>
      </c>
      <c r="E675" s="1">
        <v>1</v>
      </c>
      <c r="F675" s="1">
        <v>1</v>
      </c>
      <c r="G675" s="1">
        <v>1</v>
      </c>
      <c r="H675" s="1">
        <v>0</v>
      </c>
      <c r="I675" s="1">
        <v>0</v>
      </c>
      <c r="J675" s="1">
        <v>5</v>
      </c>
      <c r="K675" s="1">
        <v>1</v>
      </c>
      <c r="L675" s="1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FD55-9CAD-43D4-9020-4FB35F98818E}">
  <dimension ref="A1:AD675"/>
  <sheetViews>
    <sheetView tabSelected="1" zoomScale="85" zoomScaleNormal="85" workbookViewId="0">
      <pane xSplit="1" ySplit="1" topLeftCell="B661" activePane="bottomRight" state="frozen"/>
      <selection pane="topRight" activeCell="B1" sqref="B1"/>
      <selection pane="bottomLeft" activeCell="A2" sqref="A2"/>
      <selection pane="bottomRight" activeCell="O674" sqref="O674"/>
    </sheetView>
  </sheetViews>
  <sheetFormatPr defaultColWidth="8.75" defaultRowHeight="16.5"/>
  <cols>
    <col min="1" max="2" width="8.75" style="1"/>
    <col min="3" max="3" width="13.5" style="1" bestFit="1" customWidth="1"/>
    <col min="4" max="9" width="8.75" style="1"/>
    <col min="10" max="10" width="10" style="1" customWidth="1"/>
    <col min="11" max="18" width="8.75" style="1"/>
    <col min="19" max="19" width="11.25" style="1" customWidth="1"/>
    <col min="20" max="20" width="9.25" style="1" customWidth="1"/>
    <col min="21" max="21" width="8.75" style="1"/>
    <col min="22" max="22" width="3.25" style="1" customWidth="1"/>
    <col min="23" max="23" width="8.75" style="1"/>
    <col min="24" max="24" width="20.375" style="1" bestFit="1" customWidth="1"/>
    <col min="25" max="25" width="10.5" style="1" customWidth="1"/>
    <col min="26" max="16384" width="8.75" style="1"/>
  </cols>
  <sheetData>
    <row r="1" spans="1:30" ht="49.5">
      <c r="A1" s="4" t="s">
        <v>18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22</v>
      </c>
      <c r="T1" s="5" t="s">
        <v>20</v>
      </c>
      <c r="U1" s="5" t="s">
        <v>19</v>
      </c>
      <c r="AA1" s="12" t="s">
        <v>24</v>
      </c>
      <c r="AB1" s="12"/>
    </row>
    <row r="2" spans="1:30">
      <c r="A2" s="2">
        <v>1</v>
      </c>
      <c r="B2" s="2">
        <v>0</v>
      </c>
      <c r="C2" s="8">
        <f>(data!C2-AVERAGE(data!C:C))/_xlfn.STDEV.S(data!C:C)</f>
        <v>-0.46658943205323239</v>
      </c>
      <c r="D2" s="2">
        <v>1</v>
      </c>
      <c r="E2" s="2">
        <v>0</v>
      </c>
      <c r="F2" s="2">
        <v>1</v>
      </c>
      <c r="G2" s="2">
        <v>1</v>
      </c>
      <c r="H2" s="2">
        <v>0</v>
      </c>
      <c r="I2" s="2">
        <v>0</v>
      </c>
      <c r="J2" s="8">
        <f>(data!J2-AVERAGE(data!J:J))/_xlfn.STDEV.S(data!J:J)</f>
        <v>0.61976599848936942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6" cm="1">
        <f t="array" ref="S2">$Y$2+MMULT(C2:R2,$Y$3:$Y$18)</f>
        <v>-8.1684123850902601</v>
      </c>
      <c r="T2" s="7">
        <f>EXP(S2)/(1+EXP(S2))</f>
        <v>2.8338736576830265E-4</v>
      </c>
      <c r="U2" s="3">
        <f t="shared" ref="U2:U65" si="0">IF(T2&gt;=cut,1,0)</f>
        <v>0</v>
      </c>
      <c r="X2" s="9" t="s">
        <v>21</v>
      </c>
      <c r="Y2" s="22">
        <v>-4.1323657656366422</v>
      </c>
      <c r="AA2" s="13"/>
      <c r="AB2" s="14"/>
      <c r="AC2" s="17" t="s">
        <v>25</v>
      </c>
      <c r="AD2" s="18"/>
    </row>
    <row r="3" spans="1:30">
      <c r="A3" s="2">
        <v>2</v>
      </c>
      <c r="B3" s="2">
        <v>1</v>
      </c>
      <c r="C3" s="8">
        <f>(data!C3-AVERAGE(data!C:C))/_xlfn.STDEV.S(data!C:C)</f>
        <v>1.6755963749986986</v>
      </c>
      <c r="D3" s="2">
        <v>1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8">
        <f>(data!J3-AVERAGE(data!J:J))/_xlfn.STDEV.S(data!J:J)</f>
        <v>-0.19177499635347484</v>
      </c>
      <c r="K3" s="2">
        <v>1</v>
      </c>
      <c r="L3" s="2">
        <v>0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0</v>
      </c>
      <c r="S3" s="6" cm="1">
        <f t="array" ref="S3">$Y$2+MMULT(C3:R3,$Y$3:$Y$18)</f>
        <v>5.0023464204159271</v>
      </c>
      <c r="T3" s="7">
        <f t="shared" ref="T3:T66" si="1">EXP(S3)/(1+EXP(S3))</f>
        <v>0.99332273016925632</v>
      </c>
      <c r="U3" s="3">
        <f t="shared" si="0"/>
        <v>1</v>
      </c>
      <c r="X3" s="9" t="s">
        <v>2</v>
      </c>
      <c r="Y3" s="22">
        <v>5.9600344140752206</v>
      </c>
      <c r="AA3" s="15"/>
      <c r="AB3" s="16"/>
      <c r="AC3" s="10">
        <v>1</v>
      </c>
      <c r="AD3" s="10">
        <v>0</v>
      </c>
    </row>
    <row r="4" spans="1:30">
      <c r="A4" s="2">
        <v>3</v>
      </c>
      <c r="B4" s="2">
        <v>0</v>
      </c>
      <c r="C4" s="8">
        <f>(data!C4-AVERAGE(data!C:C))/_xlfn.STDEV.S(data!C:C)</f>
        <v>0.45749072000838492</v>
      </c>
      <c r="D4" s="2">
        <v>1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8">
        <f>(data!J4-AVERAGE(data!J:J))/_xlfn.STDEV.S(data!J:J)</f>
        <v>1.3575305392555914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6" cm="1">
        <f t="array" ref="S4">$Y$2+MMULT(C4:R4,$Y$3:$Y$18)</f>
        <v>-1.8229984675392905</v>
      </c>
      <c r="T4" s="7">
        <f t="shared" si="1"/>
        <v>0.13907446947753666</v>
      </c>
      <c r="U4" s="3">
        <f t="shared" si="0"/>
        <v>0</v>
      </c>
      <c r="X4" s="9" t="s">
        <v>3</v>
      </c>
      <c r="Y4" s="22">
        <v>0.17917331865497102</v>
      </c>
      <c r="AA4" s="19" t="s">
        <v>26</v>
      </c>
      <c r="AB4" s="10">
        <v>1</v>
      </c>
      <c r="AC4" s="10">
        <f>COUNTIFS(구독예측,1,구독여부,1)</f>
        <v>109</v>
      </c>
      <c r="AD4" s="10">
        <f>COUNTIFS(구독예측,0,구독여부,1)</f>
        <v>16</v>
      </c>
    </row>
    <row r="5" spans="1:30">
      <c r="A5" s="2">
        <v>4</v>
      </c>
      <c r="B5" s="2">
        <v>1</v>
      </c>
      <c r="C5" s="8">
        <f>(data!C5-AVERAGE(data!C:C))/_xlfn.STDEV.S(data!C:C)</f>
        <v>1.4655781586210583</v>
      </c>
      <c r="D5" s="2">
        <v>0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J5" s="8">
        <f>(data!J5-AVERAGE(data!J:J))/_xlfn.STDEV.S(data!J:J)</f>
        <v>2.759283166711413</v>
      </c>
      <c r="K5" s="2">
        <v>0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6" cm="1">
        <f t="array" ref="S5">$Y$2+MMULT(C5:R5,$Y$3:$Y$18)</f>
        <v>5.6835732481132162</v>
      </c>
      <c r="T5" s="7">
        <f t="shared" si="1"/>
        <v>0.99661014746729681</v>
      </c>
      <c r="U5" s="3">
        <f t="shared" si="0"/>
        <v>1</v>
      </c>
      <c r="X5" s="9" t="s">
        <v>4</v>
      </c>
      <c r="Y5" s="22">
        <v>-0.12397327959696483</v>
      </c>
      <c r="AA5" s="20"/>
      <c r="AB5" s="10">
        <v>0</v>
      </c>
      <c r="AC5" s="10">
        <f>COUNTIFS(구독예측,1,구독여부,0)</f>
        <v>23</v>
      </c>
      <c r="AD5" s="10">
        <f>COUNTIFS(구독예측,0,구독여부,0)</f>
        <v>525</v>
      </c>
    </row>
    <row r="6" spans="1:30">
      <c r="A6" s="2">
        <v>5</v>
      </c>
      <c r="B6" s="2">
        <v>0</v>
      </c>
      <c r="C6" s="8">
        <f>(data!C6-AVERAGE(data!C:C))/_xlfn.STDEV.S(data!C:C)</f>
        <v>0.33147979018180074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8">
        <f>(data!J6-AVERAGE(data!J:J))/_xlfn.STDEV.S(data!J:J)</f>
        <v>0.69354245256599156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s="6" cm="1">
        <f t="array" ref="S6">$Y$2+MMULT(C6:R6,$Y$3:$Y$18)</f>
        <v>-3.0633633063457903</v>
      </c>
      <c r="T6" s="7">
        <f t="shared" si="1"/>
        <v>4.4644034962983699E-2</v>
      </c>
      <c r="U6" s="3">
        <f t="shared" si="0"/>
        <v>0</v>
      </c>
      <c r="X6" s="9" t="s">
        <v>5</v>
      </c>
      <c r="Y6" s="22">
        <v>-0.60212272602284334</v>
      </c>
    </row>
    <row r="7" spans="1:30">
      <c r="A7" s="2">
        <v>6</v>
      </c>
      <c r="B7" s="2">
        <v>0</v>
      </c>
      <c r="C7" s="8">
        <f>(data!C7-AVERAGE(data!C:C))/_xlfn.STDEV.S(data!C:C)</f>
        <v>-0.46658943205323239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8">
        <f>(data!J7-AVERAGE(data!J:J))/_xlfn.STDEV.S(data!J:J)</f>
        <v>1.7264128096387024</v>
      </c>
      <c r="K7" s="2">
        <v>0</v>
      </c>
      <c r="L7" s="2">
        <v>0</v>
      </c>
      <c r="M7" s="2">
        <v>1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6" cm="1">
        <f t="array" ref="S7">$Y$2+MMULT(C7:R7,$Y$3:$Y$18)</f>
        <v>-4.7993101368115632</v>
      </c>
      <c r="T7" s="7">
        <f t="shared" si="1"/>
        <v>8.1681581420618345E-3</v>
      </c>
      <c r="U7" s="3">
        <f t="shared" si="0"/>
        <v>0</v>
      </c>
      <c r="X7" s="9" t="s">
        <v>6</v>
      </c>
      <c r="Y7" s="22">
        <v>-0.73776245507233429</v>
      </c>
    </row>
    <row r="8" spans="1:30">
      <c r="A8" s="2">
        <v>7</v>
      </c>
      <c r="B8" s="2">
        <v>0</v>
      </c>
      <c r="C8" s="8">
        <f>(data!C8-AVERAGE(data!C:C))/_xlfn.STDEV.S(data!C:C)</f>
        <v>-0.38258214550217629</v>
      </c>
      <c r="D8" s="2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  <c r="J8" s="8">
        <f>(data!J8-AVERAGE(data!J:J))/_xlfn.STDEV.S(data!J:J)</f>
        <v>0.17710727402963619</v>
      </c>
      <c r="K8" s="2">
        <v>0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6" cm="1">
        <f t="array" ref="S8">$Y$2+MMULT(C8:R8,$Y$3:$Y$18)</f>
        <v>-11.229813308056297</v>
      </c>
      <c r="T8" s="7">
        <f t="shared" si="1"/>
        <v>1.3272363983854488E-5</v>
      </c>
      <c r="U8" s="3">
        <f t="shared" si="0"/>
        <v>0</v>
      </c>
      <c r="X8" s="9" t="s">
        <v>7</v>
      </c>
      <c r="Y8" s="22">
        <v>-2.8570551689535808</v>
      </c>
    </row>
    <row r="9" spans="1:30">
      <c r="A9" s="2">
        <v>8</v>
      </c>
      <c r="B9" s="2">
        <v>0</v>
      </c>
      <c r="C9" s="8">
        <f>(data!C9-AVERAGE(data!C:C))/_xlfn.STDEV.S(data!C:C)</f>
        <v>0.12146157380416044</v>
      </c>
      <c r="D9" s="2">
        <v>1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8">
        <f>(data!J9-AVERAGE(data!J:J))/_xlfn.STDEV.S(data!J:J)</f>
        <v>-0.70821017488983018</v>
      </c>
      <c r="K9" s="2">
        <v>0</v>
      </c>
      <c r="L9" s="2">
        <v>0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 s="6" cm="1">
        <f t="array" ref="S9">$Y$2+MMULT(C9:R9,$Y$3:$Y$18)</f>
        <v>-7.312308687998585</v>
      </c>
      <c r="T9" s="7">
        <f t="shared" si="1"/>
        <v>6.6682978453719928E-4</v>
      </c>
      <c r="U9" s="3">
        <f t="shared" si="0"/>
        <v>0</v>
      </c>
      <c r="X9" s="9" t="s">
        <v>8</v>
      </c>
      <c r="Y9" s="22">
        <v>0.84511762054895667</v>
      </c>
    </row>
    <row r="10" spans="1:30">
      <c r="A10" s="2">
        <v>9</v>
      </c>
      <c r="B10" s="2">
        <v>0</v>
      </c>
      <c r="C10" s="8">
        <f>(data!C10-AVERAGE(data!C:C))/_xlfn.STDEV.S(data!C:C)</f>
        <v>0.1634652170796885</v>
      </c>
      <c r="D10" s="2">
        <v>1</v>
      </c>
      <c r="E10" s="2">
        <v>0</v>
      </c>
      <c r="F10" s="2">
        <v>1</v>
      </c>
      <c r="G10" s="2">
        <v>1</v>
      </c>
      <c r="H10" s="2">
        <v>0</v>
      </c>
      <c r="I10" s="2">
        <v>0</v>
      </c>
      <c r="J10" s="8">
        <f>(data!J10-AVERAGE(data!J:J))/_xlfn.STDEV.S(data!J:J)</f>
        <v>-4.4222088200230422E-2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0</v>
      </c>
      <c r="R10" s="2">
        <v>0</v>
      </c>
      <c r="S10" s="6" cm="1">
        <f t="array" ref="S10">$Y$2+MMULT(C10:R10,$Y$3:$Y$18)</f>
        <v>-6.0615972012223462</v>
      </c>
      <c r="T10" s="7">
        <f t="shared" si="1"/>
        <v>2.3252559388700729E-3</v>
      </c>
      <c r="U10" s="3">
        <f t="shared" si="0"/>
        <v>0</v>
      </c>
      <c r="X10" s="9" t="s">
        <v>9</v>
      </c>
      <c r="Y10" s="22">
        <v>0.59319326900703573</v>
      </c>
    </row>
    <row r="11" spans="1:30">
      <c r="A11" s="2">
        <v>10</v>
      </c>
      <c r="B11" s="2">
        <v>0</v>
      </c>
      <c r="C11" s="8">
        <f>(data!C11-AVERAGE(data!C:C))/_xlfn.STDEV.S(data!C:C)</f>
        <v>0.5835016498349691</v>
      </c>
      <c r="D11" s="2">
        <v>0</v>
      </c>
      <c r="E11" s="2">
        <v>1</v>
      </c>
      <c r="F11" s="2">
        <v>0</v>
      </c>
      <c r="G11" s="2">
        <v>0</v>
      </c>
      <c r="H11" s="2">
        <v>1</v>
      </c>
      <c r="I11" s="2">
        <v>0</v>
      </c>
      <c r="J11" s="8">
        <f>(data!J11-AVERAGE(data!J:J))/_xlfn.STDEV.S(data!J:J)</f>
        <v>0.98864826887248036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 s="6" cm="1">
        <f t="array" ref="S11">$Y$2+MMULT(C11:R11,$Y$3:$Y$18)</f>
        <v>-3.731142245530449</v>
      </c>
      <c r="T11" s="7">
        <f t="shared" si="1"/>
        <v>2.3404545409420986E-2</v>
      </c>
      <c r="U11" s="3">
        <f t="shared" si="0"/>
        <v>0</v>
      </c>
      <c r="X11" s="9" t="s">
        <v>10</v>
      </c>
      <c r="Y11" s="22">
        <v>0.24055462125550894</v>
      </c>
    </row>
    <row r="12" spans="1:30">
      <c r="A12" s="2">
        <v>11</v>
      </c>
      <c r="B12" s="2">
        <v>1</v>
      </c>
      <c r="C12" s="8">
        <f>(data!C12-AVERAGE(data!C:C))/_xlfn.STDEV.S(data!C:C)</f>
        <v>1.6755963749986986</v>
      </c>
      <c r="D12" s="2">
        <v>1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8">
        <f>(data!J12-AVERAGE(data!J:J))/_xlfn.STDEV.S(data!J:J)</f>
        <v>-0.33932790450671924</v>
      </c>
      <c r="K12" s="2">
        <v>1</v>
      </c>
      <c r="L12" s="2">
        <v>0</v>
      </c>
      <c r="M12" s="2">
        <v>0</v>
      </c>
      <c r="N12" s="2">
        <v>0</v>
      </c>
      <c r="O12" s="2">
        <v>1</v>
      </c>
      <c r="P12" s="2">
        <v>1</v>
      </c>
      <c r="Q12" s="2">
        <v>0</v>
      </c>
      <c r="R12" s="2">
        <v>1</v>
      </c>
      <c r="S12" s="6" cm="1">
        <f t="array" ref="S12">$Y$2+MMULT(C12:R12,$Y$3:$Y$18)</f>
        <v>3.9733579473524152</v>
      </c>
      <c r="T12" s="7">
        <f t="shared" si="1"/>
        <v>0.98153712624473743</v>
      </c>
      <c r="U12" s="3">
        <f t="shared" si="0"/>
        <v>1</v>
      </c>
      <c r="X12" s="9" t="s">
        <v>11</v>
      </c>
      <c r="Y12" s="22">
        <v>-0.8364283324041375</v>
      </c>
    </row>
    <row r="13" spans="1:30">
      <c r="A13" s="2">
        <v>12</v>
      </c>
      <c r="B13" s="2">
        <v>0</v>
      </c>
      <c r="C13" s="8">
        <f>(data!C13-AVERAGE(data!C:C))/_xlfn.STDEV.S(data!C:C)</f>
        <v>-0.17256392912453597</v>
      </c>
      <c r="D13" s="2">
        <v>1</v>
      </c>
      <c r="E13" s="2">
        <v>0</v>
      </c>
      <c r="F13" s="2">
        <v>1</v>
      </c>
      <c r="G13" s="2">
        <v>0</v>
      </c>
      <c r="H13" s="2">
        <v>1</v>
      </c>
      <c r="I13" s="2">
        <v>0</v>
      </c>
      <c r="J13" s="8">
        <f>(data!J13-AVERAGE(data!J:J))/_xlfn.STDEV.S(data!J:J)</f>
        <v>2.4641773504049245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0</v>
      </c>
      <c r="S13" s="6" cm="1">
        <f t="array" ref="S13">$Y$2+MMULT(C13:R13,$Y$3:$Y$18)</f>
        <v>-8.6956695276514786</v>
      </c>
      <c r="T13" s="7">
        <f t="shared" si="1"/>
        <v>1.6728078294190181E-4</v>
      </c>
      <c r="U13" s="3">
        <f t="shared" si="0"/>
        <v>0</v>
      </c>
      <c r="X13" s="9" t="s">
        <v>12</v>
      </c>
      <c r="Y13" s="22">
        <v>1.4967349072385987</v>
      </c>
    </row>
    <row r="14" spans="1:30">
      <c r="A14" s="2">
        <v>13</v>
      </c>
      <c r="B14" s="2">
        <v>0</v>
      </c>
      <c r="C14" s="8">
        <f>(data!C14-AVERAGE(data!C:C))/_xlfn.STDEV.S(data!C:C)</f>
        <v>-1.0546404379106251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8">
        <f>(data!J14-AVERAGE(data!J:J))/_xlfn.STDEV.S(data!J:J)</f>
        <v>-0.85576308304307458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1</v>
      </c>
      <c r="Q14" s="2">
        <v>0</v>
      </c>
      <c r="R14" s="2">
        <v>0</v>
      </c>
      <c r="S14" s="6" cm="1">
        <f t="array" ref="S14">$Y$2+MMULT(C14:R14,$Y$3:$Y$18)</f>
        <v>-12.642237618168096</v>
      </c>
      <c r="T14" s="7">
        <f t="shared" si="1"/>
        <v>3.2325448531307225E-6</v>
      </c>
      <c r="U14" s="3">
        <f t="shared" si="0"/>
        <v>0</v>
      </c>
      <c r="X14" s="9" t="s">
        <v>13</v>
      </c>
      <c r="Y14" s="22">
        <v>-0.46208670339565244</v>
      </c>
    </row>
    <row r="15" spans="1:30">
      <c r="A15" s="2">
        <v>14</v>
      </c>
      <c r="B15" s="2">
        <v>0</v>
      </c>
      <c r="C15" s="8">
        <f>(data!C15-AVERAGE(data!C:C))/_xlfn.STDEV.S(data!C:C)</f>
        <v>-0.55059671860428849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8">
        <f>(data!J15-AVERAGE(data!J:J))/_xlfn.STDEV.S(data!J:J)</f>
        <v>-1.1508688993495635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0</v>
      </c>
      <c r="S15" s="6" cm="1">
        <f t="array" ref="S15">$Y$2+MMULT(C15:R15,$Y$3:$Y$18)</f>
        <v>-9.8131744887816943</v>
      </c>
      <c r="T15" s="7">
        <f t="shared" si="1"/>
        <v>5.4722849427843258E-5</v>
      </c>
      <c r="U15" s="3">
        <f t="shared" si="0"/>
        <v>0</v>
      </c>
      <c r="X15" s="9" t="s">
        <v>14</v>
      </c>
      <c r="Y15" s="22">
        <v>1.7022860546497489</v>
      </c>
    </row>
    <row r="16" spans="1:30">
      <c r="A16" s="2">
        <v>15</v>
      </c>
      <c r="B16" s="2">
        <v>0</v>
      </c>
      <c r="C16" s="8">
        <f>(data!C16-AVERAGE(data!C:C))/_xlfn.STDEV.S(data!C:C)</f>
        <v>0.1634652170796885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8">
        <f>(data!J16-AVERAGE(data!J:J))/_xlfn.STDEV.S(data!J:J)</f>
        <v>0.47221309033612496</v>
      </c>
      <c r="K16" s="2">
        <v>0</v>
      </c>
      <c r="L16" s="2">
        <v>0</v>
      </c>
      <c r="M16" s="2">
        <v>1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  <c r="S16" s="6" cm="1">
        <f t="array" ref="S16">$Y$2+MMULT(C16:R16,$Y$3:$Y$18)</f>
        <v>-1.9673188953670402</v>
      </c>
      <c r="T16" s="7">
        <f t="shared" si="1"/>
        <v>0.12267715553687825</v>
      </c>
      <c r="U16" s="3">
        <f t="shared" si="0"/>
        <v>0</v>
      </c>
      <c r="X16" s="9" t="s">
        <v>15</v>
      </c>
      <c r="Y16" s="22">
        <v>-3.4188317020326546</v>
      </c>
    </row>
    <row r="17" spans="1:25">
      <c r="A17" s="2">
        <v>16</v>
      </c>
      <c r="B17" s="2">
        <v>0</v>
      </c>
      <c r="C17" s="8">
        <f>(data!C17-AVERAGE(data!C:C))/_xlfn.STDEV.S(data!C:C)</f>
        <v>-1.3906695841148498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8">
        <f>(data!J17-AVERAGE(data!J:J))/_xlfn.STDEV.S(data!J:J)</f>
        <v>2.5379538044815466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0</v>
      </c>
      <c r="R17" s="2">
        <v>0</v>
      </c>
      <c r="S17" s="6" cm="1">
        <f t="array" ref="S17">$Y$2+MMULT(C17:R17,$Y$3:$Y$18)</f>
        <v>-14.670955007324515</v>
      </c>
      <c r="T17" s="7">
        <f t="shared" si="1"/>
        <v>4.2509403553304543E-7</v>
      </c>
      <c r="U17" s="3">
        <f t="shared" si="0"/>
        <v>0</v>
      </c>
      <c r="X17" s="9" t="s">
        <v>16</v>
      </c>
      <c r="Y17" s="22">
        <v>0.98788772828298876</v>
      </c>
    </row>
    <row r="18" spans="1:25">
      <c r="A18" s="2">
        <v>17</v>
      </c>
      <c r="B18" s="2">
        <v>1</v>
      </c>
      <c r="C18" s="8">
        <f>(data!C18-AVERAGE(data!C:C))/_xlfn.STDEV.S(data!C:C)</f>
        <v>1.6755963749986986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8">
        <f>(data!J18-AVERAGE(data!J:J))/_xlfn.STDEV.S(data!J:J)</f>
        <v>-0.63443372081320804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6" cm="1">
        <f t="array" ref="S18">$Y$2+MMULT(C18:R18,$Y$3:$Y$18)</f>
        <v>4.2871598581422354</v>
      </c>
      <c r="T18" s="7">
        <f t="shared" si="1"/>
        <v>0.98644242939987536</v>
      </c>
      <c r="U18" s="3">
        <f t="shared" si="0"/>
        <v>1</v>
      </c>
      <c r="X18" s="9" t="s">
        <v>17</v>
      </c>
      <c r="Y18" s="22">
        <v>0.21933911633204284</v>
      </c>
    </row>
    <row r="19" spans="1:25">
      <c r="A19" s="2">
        <v>18</v>
      </c>
      <c r="B19" s="2">
        <v>1</v>
      </c>
      <c r="C19" s="8">
        <f>(data!C19-AVERAGE(data!C:C))/_xlfn.STDEV.S(data!C:C)</f>
        <v>1.4235745153455301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8">
        <f>(data!J19-AVERAGE(data!J:J))/_xlfn.STDEV.S(data!J:J)</f>
        <v>-1.2984218075028078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0</v>
      </c>
      <c r="S19" s="6" cm="1">
        <f t="array" ref="S19">$Y$2+MMULT(C19:R19,$Y$3:$Y$18)</f>
        <v>2.1188465233944651</v>
      </c>
      <c r="T19" s="7">
        <f t="shared" si="1"/>
        <v>0.89272151130400934</v>
      </c>
      <c r="U19" s="3">
        <f t="shared" si="0"/>
        <v>1</v>
      </c>
    </row>
    <row r="20" spans="1:25">
      <c r="A20" s="2">
        <v>19</v>
      </c>
      <c r="B20" s="2">
        <v>1</v>
      </c>
      <c r="C20" s="8">
        <f>(data!C20-AVERAGE(data!C:C))/_xlfn.STDEV.S(data!C:C)</f>
        <v>1.0455417258657778</v>
      </c>
      <c r="D20" s="2">
        <v>1</v>
      </c>
      <c r="E20" s="2">
        <v>1</v>
      </c>
      <c r="F20" s="2">
        <v>0</v>
      </c>
      <c r="G20" s="2">
        <v>1</v>
      </c>
      <c r="H20" s="2">
        <v>0</v>
      </c>
      <c r="I20" s="2">
        <v>0</v>
      </c>
      <c r="J20" s="8">
        <f>(data!J20-AVERAGE(data!J:J))/_xlfn.STDEV.S(data!J:J)</f>
        <v>-0.85576308304307458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  <c r="R20" s="2">
        <v>1</v>
      </c>
      <c r="S20" s="6" cm="1">
        <f t="array" ref="S20">$Y$2+MMULT(C20:R20,$Y$3:$Y$18)</f>
        <v>0.64013940362243993</v>
      </c>
      <c r="T20" s="7">
        <f t="shared" si="1"/>
        <v>0.65478497230579802</v>
      </c>
      <c r="U20" s="3">
        <f t="shared" si="0"/>
        <v>1</v>
      </c>
      <c r="X20" s="9" t="s">
        <v>23</v>
      </c>
      <c r="Y20" s="11">
        <v>0.5</v>
      </c>
    </row>
    <row r="21" spans="1:25">
      <c r="A21" s="2">
        <v>20</v>
      </c>
      <c r="B21" s="2">
        <v>0</v>
      </c>
      <c r="C21" s="8">
        <f>(data!C21-AVERAGE(data!C:C))/_xlfn.STDEV.S(data!C:C)</f>
        <v>-0.97063315135956907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8">
        <f>(data!J21-AVERAGE(data!J:J))/_xlfn.STDEV.S(data!J:J)</f>
        <v>0.32466018218288056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6" cm="1">
        <f t="array" ref="S21">$Y$2+MMULT(C21:R21,$Y$3:$Y$18)</f>
        <v>-11.262158845124407</v>
      </c>
      <c r="T21" s="7">
        <f t="shared" si="1"/>
        <v>1.2849936411671034E-5</v>
      </c>
      <c r="U21" s="3">
        <f t="shared" si="0"/>
        <v>0</v>
      </c>
      <c r="X21" s="9" t="s">
        <v>27</v>
      </c>
      <c r="Y21" s="21">
        <f>(TP+TN)/SUM(AC4:AD5)</f>
        <v>0.94205052005943535</v>
      </c>
    </row>
    <row r="22" spans="1:25">
      <c r="A22" s="2">
        <v>21</v>
      </c>
      <c r="B22" s="2">
        <v>0</v>
      </c>
      <c r="C22" s="8">
        <f>(data!C22-AVERAGE(data!C:C))/_xlfn.STDEV.S(data!C:C)</f>
        <v>0.28947614690627266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8">
        <f>(data!J22-AVERAGE(data!J:J))/_xlfn.STDEV.S(data!J:J)</f>
        <v>2.0952950800218133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6" cm="1">
        <f t="array" ref="S22">$Y$2+MMULT(C22:R22,$Y$3:$Y$18)</f>
        <v>-1.3309666968632667</v>
      </c>
      <c r="T22" s="7">
        <f t="shared" si="1"/>
        <v>0.2089995071744993</v>
      </c>
      <c r="U22" s="3">
        <f t="shared" si="0"/>
        <v>0</v>
      </c>
      <c r="X22" s="9" t="s">
        <v>28</v>
      </c>
      <c r="Y22" s="21">
        <f>TP/SUM(AC4:AC5)</f>
        <v>0.8257575757575758</v>
      </c>
    </row>
    <row r="23" spans="1:25">
      <c r="A23" s="2">
        <v>22</v>
      </c>
      <c r="B23" s="2">
        <v>0</v>
      </c>
      <c r="C23" s="8">
        <f>(data!C23-AVERAGE(data!C:C))/_xlfn.STDEV.S(data!C:C)</f>
        <v>-1.3066622975637936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8">
        <f>(data!J23-AVERAGE(data!J:J))/_xlfn.STDEV.S(data!J:J)</f>
        <v>-0.19177499635347484</v>
      </c>
      <c r="K23" s="2">
        <v>0</v>
      </c>
      <c r="L23" s="2">
        <v>1</v>
      </c>
      <c r="M23" s="2">
        <v>0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  <c r="S23" s="6" cm="1">
        <f t="array" ref="S23">$Y$2+MMULT(C23:R23,$Y$3:$Y$18)</f>
        <v>-14.869765028219904</v>
      </c>
      <c r="T23" s="7">
        <f t="shared" si="1"/>
        <v>3.4845199048795572E-7</v>
      </c>
      <c r="U23" s="3">
        <f t="shared" si="0"/>
        <v>0</v>
      </c>
      <c r="X23" s="9" t="s">
        <v>29</v>
      </c>
      <c r="Y23" s="21">
        <f>TP/SUM(AC4:AD4)</f>
        <v>0.872</v>
      </c>
    </row>
    <row r="24" spans="1:25">
      <c r="A24" s="2">
        <v>23</v>
      </c>
      <c r="B24" s="2">
        <v>0</v>
      </c>
      <c r="C24" s="8">
        <f>(data!C24-AVERAGE(data!C:C))/_xlfn.STDEV.S(data!C:C)</f>
        <v>1.6755963749986986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8">
        <f>(data!J24-AVERAGE(data!J:J))/_xlfn.STDEV.S(data!J:J)</f>
        <v>-0.41310435858334144</v>
      </c>
      <c r="K24" s="2">
        <v>0</v>
      </c>
      <c r="L24" s="2">
        <v>1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6" cm="1">
        <f t="array" ref="S24">$Y$2+MMULT(C24:R24,$Y$3:$Y$18)</f>
        <v>2.594134885363486</v>
      </c>
      <c r="T24" s="7">
        <f t="shared" si="1"/>
        <v>0.93048315564160256</v>
      </c>
      <c r="U24" s="3">
        <f t="shared" si="0"/>
        <v>1</v>
      </c>
      <c r="X24" s="9" t="s">
        <v>30</v>
      </c>
      <c r="Y24" s="21">
        <f>2*Precision*Recall/(Precision+Recall)</f>
        <v>0.84824902723735407</v>
      </c>
    </row>
    <row r="25" spans="1:25">
      <c r="A25" s="2">
        <v>24</v>
      </c>
      <c r="B25" s="2">
        <v>1</v>
      </c>
      <c r="C25" s="8">
        <f>(data!C25-AVERAGE(data!C:C))/_xlfn.STDEV.S(data!C:C)</f>
        <v>0.41548707673285684</v>
      </c>
      <c r="D25" s="2">
        <v>1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8">
        <f>(data!J25-AVERAGE(data!J:J))/_xlfn.STDEV.S(data!J:J)</f>
        <v>0.17710727402963619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0</v>
      </c>
      <c r="R25" s="2">
        <v>1</v>
      </c>
      <c r="S25" s="6" cm="1">
        <f t="array" ref="S25">$Y$2+MMULT(C25:R25,$Y$3:$Y$18)</f>
        <v>-3.1563443721801221</v>
      </c>
      <c r="T25" s="7">
        <f t="shared" si="1"/>
        <v>4.0842018818843945E-2</v>
      </c>
      <c r="U25" s="3">
        <f t="shared" si="0"/>
        <v>0</v>
      </c>
    </row>
    <row r="26" spans="1:25">
      <c r="A26" s="2">
        <v>25</v>
      </c>
      <c r="B26" s="2">
        <v>0</v>
      </c>
      <c r="C26" s="8">
        <f>(data!C26-AVERAGE(data!C:C))/_xlfn.STDEV.S(data!C:C)</f>
        <v>-0.59260036187981657</v>
      </c>
      <c r="D26" s="2">
        <v>1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8">
        <f>(data!J26-AVERAGE(data!J:J))/_xlfn.STDEV.S(data!J:J)</f>
        <v>-1.1508688993495635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0</v>
      </c>
      <c r="R26" s="2">
        <v>0</v>
      </c>
      <c r="S26" s="6" cm="1">
        <f t="array" ref="S26">$Y$2+MMULT(C26:R26,$Y$3:$Y$18)</f>
        <v>-10.486467055588253</v>
      </c>
      <c r="T26" s="7">
        <f t="shared" si="1"/>
        <v>2.7910852484498312E-5</v>
      </c>
      <c r="U26" s="3">
        <f t="shared" si="0"/>
        <v>0</v>
      </c>
    </row>
    <row r="27" spans="1:25">
      <c r="A27" s="2">
        <v>26</v>
      </c>
      <c r="B27" s="2">
        <v>1</v>
      </c>
      <c r="C27" s="8">
        <f>(data!C27-AVERAGE(data!C:C))/_xlfn.STDEV.S(data!C:C)</f>
        <v>1.6755963749986986</v>
      </c>
      <c r="D27" s="2">
        <v>1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8">
        <f>(data!J27-AVERAGE(data!J:J))/_xlfn.STDEV.S(data!J:J)</f>
        <v>-0.11799854227685262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1</v>
      </c>
      <c r="Q27" s="2">
        <v>0</v>
      </c>
      <c r="R27" s="2">
        <v>0</v>
      </c>
      <c r="S27" s="6" cm="1">
        <f t="array" ref="S27">$Y$2+MMULT(C27:R27,$Y$3:$Y$18)</f>
        <v>2.2393549917941051</v>
      </c>
      <c r="T27" s="7">
        <f t="shared" si="1"/>
        <v>0.90372835498414528</v>
      </c>
      <c r="U27" s="3">
        <f t="shared" si="0"/>
        <v>1</v>
      </c>
    </row>
    <row r="28" spans="1:25">
      <c r="A28" s="2">
        <v>27</v>
      </c>
      <c r="B28" s="2">
        <v>0</v>
      </c>
      <c r="C28" s="8">
        <f>(data!C28-AVERAGE(data!C:C))/_xlfn.STDEV.S(data!C:C)</f>
        <v>-0.50859307532876041</v>
      </c>
      <c r="D28" s="2">
        <v>0</v>
      </c>
      <c r="E28" s="2">
        <v>0</v>
      </c>
      <c r="F28" s="2">
        <v>1</v>
      </c>
      <c r="G28" s="2">
        <v>1</v>
      </c>
      <c r="H28" s="2">
        <v>0</v>
      </c>
      <c r="I28" s="2">
        <v>0</v>
      </c>
      <c r="J28" s="8">
        <f>(data!J28-AVERAGE(data!J:J))/_xlfn.STDEV.S(data!J:J)</f>
        <v>-1.1508688993495635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6" cm="1">
        <f t="array" ref="S28">$Y$2+MMULT(C28:R28,$Y$3:$Y$18)</f>
        <v>-12.605002565087934</v>
      </c>
      <c r="T28" s="7">
        <f t="shared" si="1"/>
        <v>3.3551773743784234E-6</v>
      </c>
      <c r="U28" s="3">
        <f t="shared" si="0"/>
        <v>0</v>
      </c>
    </row>
    <row r="29" spans="1:25">
      <c r="A29" s="2">
        <v>28</v>
      </c>
      <c r="B29" s="2">
        <v>0</v>
      </c>
      <c r="C29" s="8">
        <f>(data!C29-AVERAGE(data!C:C))/_xlfn.STDEV.S(data!C:C)</f>
        <v>0.12146157380416044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8">
        <f>(data!J29-AVERAGE(data!J:J))/_xlfn.STDEV.S(data!J:J)</f>
        <v>1.1362011770257248</v>
      </c>
      <c r="K29" s="2">
        <v>0</v>
      </c>
      <c r="L29" s="2">
        <v>0</v>
      </c>
      <c r="M29" s="2">
        <v>1</v>
      </c>
      <c r="N29" s="2">
        <v>1</v>
      </c>
      <c r="O29" s="2">
        <v>1</v>
      </c>
      <c r="P29" s="2">
        <v>1</v>
      </c>
      <c r="Q29" s="2">
        <v>0</v>
      </c>
      <c r="R29" s="2">
        <v>0</v>
      </c>
      <c r="S29" s="6" cm="1">
        <f t="array" ref="S29">$Y$2+MMULT(C29:R29,$Y$3:$Y$18)</f>
        <v>-6.2734163278201169</v>
      </c>
      <c r="T29" s="7">
        <f t="shared" si="1"/>
        <v>1.8822256854694761E-3</v>
      </c>
      <c r="U29" s="3">
        <f t="shared" si="0"/>
        <v>0</v>
      </c>
    </row>
    <row r="30" spans="1:25">
      <c r="A30" s="2">
        <v>29</v>
      </c>
      <c r="B30" s="2">
        <v>0</v>
      </c>
      <c r="C30" s="8">
        <f>(data!C30-AVERAGE(data!C:C))/_xlfn.STDEV.S(data!C:C)</f>
        <v>-0.97063315135956907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8">
        <f>(data!J30-AVERAGE(data!J:J))/_xlfn.STDEV.S(data!J:J)</f>
        <v>-0.92953953711969683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1</v>
      </c>
      <c r="Q30" s="2">
        <v>0</v>
      </c>
      <c r="R30" s="2">
        <v>0</v>
      </c>
      <c r="S30" s="6" cm="1">
        <f t="array" ref="S30">$Y$2+MMULT(C30:R30,$Y$3:$Y$18)</f>
        <v>-12.00614167660521</v>
      </c>
      <c r="T30" s="7">
        <f t="shared" si="1"/>
        <v>6.1065549413831478E-6</v>
      </c>
      <c r="U30" s="3">
        <f t="shared" si="0"/>
        <v>0</v>
      </c>
    </row>
    <row r="31" spans="1:25">
      <c r="A31" s="2">
        <v>30</v>
      </c>
      <c r="B31" s="2">
        <v>0</v>
      </c>
      <c r="C31" s="8">
        <f>(data!C31-AVERAGE(data!C:C))/_xlfn.STDEV.S(data!C:C)</f>
        <v>0.45749072000838492</v>
      </c>
      <c r="D31" s="2">
        <v>1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8">
        <f>(data!J31-AVERAGE(data!J:J))/_xlfn.STDEV.S(data!J:J)</f>
        <v>-0.11799854227685262</v>
      </c>
      <c r="K31" s="2">
        <v>0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  <c r="S31" s="6" cm="1">
        <f t="array" ref="S31">$Y$2+MMULT(C31:R31,$Y$3:$Y$18)</f>
        <v>-1.1145109474968526</v>
      </c>
      <c r="T31" s="7">
        <f t="shared" si="1"/>
        <v>0.24703086532584009</v>
      </c>
      <c r="U31" s="3">
        <f t="shared" si="0"/>
        <v>0</v>
      </c>
    </row>
    <row r="32" spans="1:25">
      <c r="A32" s="2">
        <v>31</v>
      </c>
      <c r="B32" s="2">
        <v>0</v>
      </c>
      <c r="C32" s="8">
        <f>(data!C32-AVERAGE(data!C:C))/_xlfn.STDEV.S(data!C:C)</f>
        <v>0.62550529311049718</v>
      </c>
      <c r="D32" s="2">
        <v>1</v>
      </c>
      <c r="E32" s="2">
        <v>1</v>
      </c>
      <c r="F32" s="2">
        <v>0</v>
      </c>
      <c r="G32" s="2">
        <v>1</v>
      </c>
      <c r="H32" s="2">
        <v>0</v>
      </c>
      <c r="I32" s="2">
        <v>0</v>
      </c>
      <c r="J32" s="8">
        <f>(data!J32-AVERAGE(data!J:J))/_xlfn.STDEV.S(data!J:J)</f>
        <v>-0.78198662896645244</v>
      </c>
      <c r="K32" s="2">
        <v>1</v>
      </c>
      <c r="L32" s="2">
        <v>1</v>
      </c>
      <c r="M32" s="2">
        <v>1</v>
      </c>
      <c r="N32" s="2">
        <v>1</v>
      </c>
      <c r="O32" s="2">
        <v>0</v>
      </c>
      <c r="P32" s="2">
        <v>1</v>
      </c>
      <c r="Q32" s="2">
        <v>0</v>
      </c>
      <c r="R32" s="2">
        <v>1</v>
      </c>
      <c r="S32" s="6" cm="1">
        <f t="array" ref="S32">$Y$2+MMULT(C32:R32,$Y$3:$Y$18)</f>
        <v>-4.3114824062888957</v>
      </c>
      <c r="T32" s="7">
        <f t="shared" si="1"/>
        <v>1.3236105872439057E-2</v>
      </c>
      <c r="U32" s="3">
        <f t="shared" si="0"/>
        <v>0</v>
      </c>
    </row>
    <row r="33" spans="1:21">
      <c r="A33" s="2">
        <v>32</v>
      </c>
      <c r="B33" s="2">
        <v>0</v>
      </c>
      <c r="C33" s="8">
        <f>(data!C33-AVERAGE(data!C:C))/_xlfn.STDEV.S(data!C:C)</f>
        <v>0.45749072000838492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8">
        <f>(data!J33-AVERAGE(data!J:J))/_xlfn.STDEV.S(data!J:J)</f>
        <v>-4.4222088200230422E-2</v>
      </c>
      <c r="K33" s="2">
        <v>0</v>
      </c>
      <c r="L33" s="2">
        <v>1</v>
      </c>
      <c r="M33" s="2">
        <v>0</v>
      </c>
      <c r="N33" s="2">
        <v>1</v>
      </c>
      <c r="O33" s="2">
        <v>1</v>
      </c>
      <c r="P33" s="2">
        <v>1</v>
      </c>
      <c r="Q33" s="2">
        <v>0</v>
      </c>
      <c r="R33" s="2">
        <v>0</v>
      </c>
      <c r="S33" s="6" cm="1">
        <f t="array" ref="S33">$Y$2+MMULT(C33:R33,$Y$3:$Y$18)</f>
        <v>-4.4469982585111243</v>
      </c>
      <c r="T33" s="7">
        <f t="shared" si="1"/>
        <v>1.1578054105905605E-2</v>
      </c>
      <c r="U33" s="3">
        <f t="shared" si="0"/>
        <v>0</v>
      </c>
    </row>
    <row r="34" spans="1:21">
      <c r="A34" s="2">
        <v>33</v>
      </c>
      <c r="B34" s="2">
        <v>1</v>
      </c>
      <c r="C34" s="8">
        <f>(data!C34-AVERAGE(data!C:C))/_xlfn.STDEV.S(data!C:C)</f>
        <v>1.6755963749986986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8">
        <f>(data!J34-AVERAGE(data!J:J))/_xlfn.STDEV.S(data!J:J)</f>
        <v>1.3575305392555914</v>
      </c>
      <c r="K34" s="2">
        <v>1</v>
      </c>
      <c r="L34" s="2">
        <v>0</v>
      </c>
      <c r="M34" s="2">
        <v>1</v>
      </c>
      <c r="N34" s="2">
        <v>1</v>
      </c>
      <c r="O34" s="2">
        <v>1</v>
      </c>
      <c r="P34" s="2">
        <v>1</v>
      </c>
      <c r="Q34" s="2">
        <v>0</v>
      </c>
      <c r="R34" s="2">
        <v>1</v>
      </c>
      <c r="S34" s="6" cm="1">
        <f t="array" ref="S34">$Y$2+MMULT(C34:R34,$Y$3:$Y$18)</f>
        <v>5.5757848311914913</v>
      </c>
      <c r="T34" s="7">
        <f t="shared" si="1"/>
        <v>0.99622579748905038</v>
      </c>
      <c r="U34" s="3">
        <f t="shared" si="0"/>
        <v>1</v>
      </c>
    </row>
    <row r="35" spans="1:21">
      <c r="A35" s="2">
        <v>34</v>
      </c>
      <c r="B35" s="2">
        <v>0</v>
      </c>
      <c r="C35" s="8">
        <f>(data!C35-AVERAGE(data!C:C))/_xlfn.STDEV.S(data!C:C)</f>
        <v>-1.3066622975637936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8">
        <f>(data!J35-AVERAGE(data!J:J))/_xlfn.STDEV.S(data!J:J)</f>
        <v>-1.2246453534261856</v>
      </c>
      <c r="K35" s="2">
        <v>0</v>
      </c>
      <c r="L35" s="2">
        <v>1</v>
      </c>
      <c r="M35" s="2">
        <v>0</v>
      </c>
      <c r="N35" s="2">
        <v>1</v>
      </c>
      <c r="O35" s="2">
        <v>1</v>
      </c>
      <c r="P35" s="2">
        <v>1</v>
      </c>
      <c r="Q35" s="2">
        <v>0</v>
      </c>
      <c r="R35" s="2">
        <v>0</v>
      </c>
      <c r="S35" s="6" cm="1">
        <f t="array" ref="S35">$Y$2+MMULT(C35:R35,$Y$3:$Y$18)</f>
        <v>-15.482456771792329</v>
      </c>
      <c r="T35" s="7">
        <f t="shared" si="1"/>
        <v>1.8882277492419304E-7</v>
      </c>
      <c r="U35" s="3">
        <f t="shared" si="0"/>
        <v>0</v>
      </c>
    </row>
    <row r="36" spans="1:21">
      <c r="A36" s="2">
        <v>35</v>
      </c>
      <c r="B36" s="2">
        <v>0</v>
      </c>
      <c r="C36" s="8">
        <f>(data!C36-AVERAGE(data!C:C))/_xlfn.STDEV.S(data!C:C)</f>
        <v>-8.8556642573479852E-2</v>
      </c>
      <c r="D36" s="2">
        <v>1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8">
        <f>(data!J36-AVERAGE(data!J:J))/_xlfn.STDEV.S(data!J:J)</f>
        <v>1.8739657177919469</v>
      </c>
      <c r="K36" s="2">
        <v>0</v>
      </c>
      <c r="L36" s="2">
        <v>0</v>
      </c>
      <c r="M36" s="2">
        <v>0</v>
      </c>
      <c r="N36" s="2">
        <v>1</v>
      </c>
      <c r="O36" s="2">
        <v>0</v>
      </c>
      <c r="P36" s="2">
        <v>1</v>
      </c>
      <c r="Q36" s="2">
        <v>1</v>
      </c>
      <c r="R36" s="2">
        <v>0</v>
      </c>
      <c r="S36" s="6" cm="1">
        <f t="array" ref="S36">$Y$2+MMULT(C36:R36,$Y$3:$Y$18)</f>
        <v>-6.3863731909127317</v>
      </c>
      <c r="T36" s="7">
        <f t="shared" si="1"/>
        <v>1.6815216895347087E-3</v>
      </c>
      <c r="U36" s="3">
        <f t="shared" si="0"/>
        <v>0</v>
      </c>
    </row>
    <row r="37" spans="1:21">
      <c r="A37" s="2">
        <v>36</v>
      </c>
      <c r="B37" s="2">
        <v>0</v>
      </c>
      <c r="C37" s="8">
        <f>(data!C37-AVERAGE(data!C:C))/_xlfn.STDEV.S(data!C:C)</f>
        <v>-0.38258214550217629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8">
        <f>(data!J37-AVERAGE(data!J:J))/_xlfn.STDEV.S(data!J:J)</f>
        <v>1.1362011770257248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0</v>
      </c>
      <c r="S37" s="6" cm="1">
        <f t="array" ref="S37">$Y$2+MMULT(C37:R37,$Y$3:$Y$18)</f>
        <v>-7.4551272759737204</v>
      </c>
      <c r="T37" s="7">
        <f t="shared" si="1"/>
        <v>5.7813359848336962E-4</v>
      </c>
      <c r="U37" s="3">
        <f t="shared" si="0"/>
        <v>0</v>
      </c>
    </row>
    <row r="38" spans="1:21">
      <c r="A38" s="2">
        <v>37</v>
      </c>
      <c r="B38" s="2">
        <v>1</v>
      </c>
      <c r="C38" s="8">
        <f>(data!C38-AVERAGE(data!C:C))/_xlfn.STDEV.S(data!C:C)</f>
        <v>1.6755963749986986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8">
        <f>(data!J38-AVERAGE(data!J:J))/_xlfn.STDEV.S(data!J:J)</f>
        <v>-0.41310435858334144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  <c r="S38" s="6" cm="1">
        <f t="array" ref="S38">$Y$2+MMULT(C38:R38,$Y$3:$Y$18)</f>
        <v>4.4300902911893978</v>
      </c>
      <c r="T38" s="7">
        <f t="shared" si="1"/>
        <v>0.98822684452671539</v>
      </c>
      <c r="U38" s="3">
        <f t="shared" si="0"/>
        <v>1</v>
      </c>
    </row>
    <row r="39" spans="1:21">
      <c r="A39" s="2">
        <v>38</v>
      </c>
      <c r="B39" s="2">
        <v>0</v>
      </c>
      <c r="C39" s="8">
        <f>(data!C39-AVERAGE(data!C:C))/_xlfn.STDEV.S(data!C:C)</f>
        <v>-8.8556642573479852E-2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8">
        <f>(data!J39-AVERAGE(data!J:J))/_xlfn.STDEV.S(data!J:J)</f>
        <v>-0.19177499635347484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1</v>
      </c>
      <c r="Q39" s="2">
        <v>0</v>
      </c>
      <c r="R39" s="2">
        <v>0</v>
      </c>
      <c r="S39" s="6" cm="1">
        <f t="array" ref="S39">$Y$2+MMULT(C39:R39,$Y$3:$Y$18)</f>
        <v>-6.7405086255474016</v>
      </c>
      <c r="T39" s="7">
        <f t="shared" si="1"/>
        <v>1.180650202412273E-3</v>
      </c>
      <c r="U39" s="3">
        <f t="shared" si="0"/>
        <v>0</v>
      </c>
    </row>
    <row r="40" spans="1:21">
      <c r="A40" s="2">
        <v>39</v>
      </c>
      <c r="B40" s="2">
        <v>0</v>
      </c>
      <c r="C40" s="8">
        <f>(data!C40-AVERAGE(data!C:C))/_xlfn.STDEV.S(data!C:C)</f>
        <v>-1.3066622975637936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8">
        <f>(data!J40-AVERAGE(data!J:J))/_xlfn.STDEV.S(data!J:J)</f>
        <v>-1.2984218075028078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6" cm="1">
        <f t="array" ref="S40">$Y$2+MMULT(C40:R40,$Y$3:$Y$18)</f>
        <v>-14.227705431961999</v>
      </c>
      <c r="T40" s="7">
        <f t="shared" si="1"/>
        <v>6.6219478034579538E-7</v>
      </c>
      <c r="U40" s="3">
        <f t="shared" si="0"/>
        <v>0</v>
      </c>
    </row>
    <row r="41" spans="1:21">
      <c r="A41" s="2">
        <v>40</v>
      </c>
      <c r="B41" s="2">
        <v>0</v>
      </c>
      <c r="C41" s="8">
        <f>(data!C41-AVERAGE(data!C:C))/_xlfn.STDEV.S(data!C:C)</f>
        <v>0.5835016498349691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8">
        <f>(data!J41-AVERAGE(data!J:J))/_xlfn.STDEV.S(data!J:J)</f>
        <v>-0.56065726673658578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0</v>
      </c>
      <c r="S41" s="6" cm="1">
        <f t="array" ref="S41">$Y$2+MMULT(C41:R41,$Y$3:$Y$18)</f>
        <v>-2.3889984030841354</v>
      </c>
      <c r="T41" s="7">
        <f t="shared" si="1"/>
        <v>8.4015479561715484E-2</v>
      </c>
      <c r="U41" s="3">
        <f t="shared" si="0"/>
        <v>0</v>
      </c>
    </row>
    <row r="42" spans="1:21">
      <c r="A42" s="2">
        <v>41</v>
      </c>
      <c r="B42" s="2">
        <v>0</v>
      </c>
      <c r="C42" s="8">
        <f>(data!C42-AVERAGE(data!C:C))/_xlfn.STDEV.S(data!C:C)</f>
        <v>-0.59260036187981657</v>
      </c>
      <c r="D42" s="2">
        <v>1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8">
        <f>(data!J42-AVERAGE(data!J:J))/_xlfn.STDEV.S(data!J:J)</f>
        <v>0.17710727402963619</v>
      </c>
      <c r="K42" s="2">
        <v>1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6" cm="1">
        <f t="array" ref="S42">$Y$2+MMULT(C42:R42,$Y$3:$Y$18)</f>
        <v>-11.518730847510492</v>
      </c>
      <c r="T42" s="7">
        <f t="shared" si="1"/>
        <v>9.9420155166541854E-6</v>
      </c>
      <c r="U42" s="3">
        <f t="shared" si="0"/>
        <v>0</v>
      </c>
    </row>
    <row r="43" spans="1:21">
      <c r="A43" s="2">
        <v>42</v>
      </c>
      <c r="B43" s="2">
        <v>0</v>
      </c>
      <c r="C43" s="8">
        <f>(data!C43-AVERAGE(data!C:C))/_xlfn.STDEV.S(data!C:C)</f>
        <v>-0.63460400515534465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8">
        <f>(data!J43-AVERAGE(data!J:J))/_xlfn.STDEV.S(data!J:J)</f>
        <v>-1.2246453534261856</v>
      </c>
      <c r="K43" s="2">
        <v>0</v>
      </c>
      <c r="L43" s="2">
        <v>0</v>
      </c>
      <c r="M43" s="2">
        <v>1</v>
      </c>
      <c r="N43" s="2">
        <v>1</v>
      </c>
      <c r="O43" s="2">
        <v>0</v>
      </c>
      <c r="P43" s="2">
        <v>1</v>
      </c>
      <c r="Q43" s="2">
        <v>0</v>
      </c>
      <c r="R43" s="2">
        <v>0</v>
      </c>
      <c r="S43" s="6" cm="1">
        <f t="array" ref="S43">$Y$2+MMULT(C43:R43,$Y$3:$Y$18)</f>
        <v>-11.025262354435329</v>
      </c>
      <c r="T43" s="7">
        <f t="shared" si="1"/>
        <v>1.6284796110992513E-5</v>
      </c>
      <c r="U43" s="3">
        <f t="shared" si="0"/>
        <v>0</v>
      </c>
    </row>
    <row r="44" spans="1:21">
      <c r="A44" s="2">
        <v>43</v>
      </c>
      <c r="B44" s="2">
        <v>0</v>
      </c>
      <c r="C44" s="8">
        <f>(data!C44-AVERAGE(data!C:C))/_xlfn.STDEV.S(data!C:C)</f>
        <v>-0.84462222153298494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8">
        <f>(data!J44-AVERAGE(data!J:J))/_xlfn.STDEV.S(data!J:J)</f>
        <v>-1.0770924452729411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1</v>
      </c>
      <c r="Q44" s="2">
        <v>0</v>
      </c>
      <c r="R44" s="2">
        <v>0</v>
      </c>
      <c r="S44" s="6" cm="1">
        <f t="array" ref="S44">$Y$2+MMULT(C44:R44,$Y$3:$Y$18)</f>
        <v>-11.405231567224497</v>
      </c>
      <c r="T44" s="7">
        <f t="shared" si="1"/>
        <v>1.113694381757374E-5</v>
      </c>
      <c r="U44" s="3">
        <f t="shared" si="0"/>
        <v>0</v>
      </c>
    </row>
    <row r="45" spans="1:21">
      <c r="A45" s="2">
        <v>44</v>
      </c>
      <c r="B45" s="2">
        <v>0</v>
      </c>
      <c r="C45" s="8">
        <f>(data!C45-AVERAGE(data!C:C))/_xlfn.STDEV.S(data!C:C)</f>
        <v>-0.42458578877770431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8">
        <f>(data!J45-AVERAGE(data!J:J))/_xlfn.STDEV.S(data!J:J)</f>
        <v>0.39843663625950276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6" cm="1">
        <f t="array" ref="S45">$Y$2+MMULT(C45:R45,$Y$3:$Y$18)</f>
        <v>-10.583155904829081</v>
      </c>
      <c r="T45" s="7">
        <f t="shared" si="1"/>
        <v>2.5338609868280592E-5</v>
      </c>
      <c r="U45" s="3">
        <f t="shared" si="0"/>
        <v>0</v>
      </c>
    </row>
    <row r="46" spans="1:21">
      <c r="A46" s="2">
        <v>45</v>
      </c>
      <c r="B46" s="2">
        <v>0</v>
      </c>
      <c r="C46" s="8">
        <f>(data!C46-AVERAGE(data!C:C))/_xlfn.STDEV.S(data!C:C)</f>
        <v>0.20546886035521655</v>
      </c>
      <c r="D46" s="2">
        <v>0</v>
      </c>
      <c r="E46" s="2">
        <v>1</v>
      </c>
      <c r="F46" s="2">
        <v>1</v>
      </c>
      <c r="G46" s="2">
        <v>0</v>
      </c>
      <c r="H46" s="2">
        <v>1</v>
      </c>
      <c r="I46" s="2">
        <v>0</v>
      </c>
      <c r="J46" s="8">
        <f>(data!J46-AVERAGE(data!J:J))/_xlfn.STDEV.S(data!J:J)</f>
        <v>-0.33932790450671924</v>
      </c>
      <c r="K46" s="2">
        <v>0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0</v>
      </c>
      <c r="R46" s="2">
        <v>0</v>
      </c>
      <c r="S46" s="6" cm="1">
        <f t="array" ref="S46">$Y$2+MMULT(C46:R46,$Y$3:$Y$18)</f>
        <v>-7.3740999339517321</v>
      </c>
      <c r="T46" s="7">
        <f t="shared" si="1"/>
        <v>6.2689780043092278E-4</v>
      </c>
      <c r="U46" s="3">
        <f t="shared" si="0"/>
        <v>0</v>
      </c>
    </row>
    <row r="47" spans="1:21">
      <c r="A47" s="2">
        <v>46</v>
      </c>
      <c r="B47" s="2">
        <v>1</v>
      </c>
      <c r="C47" s="8">
        <f>(data!C47-AVERAGE(data!C:C))/_xlfn.STDEV.S(data!C:C)</f>
        <v>1.6755963749986986</v>
      </c>
      <c r="D47" s="2">
        <v>1</v>
      </c>
      <c r="E47" s="2">
        <v>1</v>
      </c>
      <c r="F47" s="2">
        <v>1</v>
      </c>
      <c r="G47" s="2">
        <v>1</v>
      </c>
      <c r="H47" s="2">
        <v>0</v>
      </c>
      <c r="I47" s="2">
        <v>0</v>
      </c>
      <c r="J47" s="8">
        <f>(data!J47-AVERAGE(data!J:J))/_xlfn.STDEV.S(data!J:J)</f>
        <v>-0.41310435858334144</v>
      </c>
      <c r="K47" s="2">
        <v>1</v>
      </c>
      <c r="L47" s="2">
        <v>0</v>
      </c>
      <c r="M47" s="2">
        <v>1</v>
      </c>
      <c r="N47" s="2">
        <v>1</v>
      </c>
      <c r="O47" s="2">
        <v>1</v>
      </c>
      <c r="P47" s="2">
        <v>1</v>
      </c>
      <c r="Q47" s="2">
        <v>0</v>
      </c>
      <c r="R47" s="2">
        <v>0</v>
      </c>
      <c r="S47" s="6" cm="1">
        <f t="array" ref="S47">$Y$2+MMULT(C47:R47,$Y$3:$Y$18)</f>
        <v>3.8831676042245604</v>
      </c>
      <c r="T47" s="7">
        <f t="shared" si="1"/>
        <v>0.97982970096052358</v>
      </c>
      <c r="U47" s="3">
        <f t="shared" si="0"/>
        <v>1</v>
      </c>
    </row>
    <row r="48" spans="1:21">
      <c r="A48" s="2">
        <v>47</v>
      </c>
      <c r="B48" s="2">
        <v>0</v>
      </c>
      <c r="C48" s="8">
        <f>(data!C48-AVERAGE(data!C:C))/_xlfn.STDEV.S(data!C:C)</f>
        <v>-8.8556642573479852E-2</v>
      </c>
      <c r="D48" s="2">
        <v>1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8">
        <f>(data!J48-AVERAGE(data!J:J))/_xlfn.STDEV.S(data!J:J)</f>
        <v>0.17710727402963619</v>
      </c>
      <c r="K48" s="2">
        <v>1</v>
      </c>
      <c r="L48" s="2">
        <v>0</v>
      </c>
      <c r="M48" s="2">
        <v>1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  <c r="S48" s="6" cm="1">
        <f t="array" ref="S48">$Y$2+MMULT(C48:R48,$Y$3:$Y$18)</f>
        <v>-6.6435363979991688</v>
      </c>
      <c r="T48" s="7">
        <f t="shared" si="1"/>
        <v>1.3007191647346377E-3</v>
      </c>
      <c r="U48" s="3">
        <f t="shared" si="0"/>
        <v>0</v>
      </c>
    </row>
    <row r="49" spans="1:21">
      <c r="A49" s="2">
        <v>48</v>
      </c>
      <c r="B49" s="2">
        <v>0</v>
      </c>
      <c r="C49" s="8">
        <f>(data!C49-AVERAGE(data!C:C))/_xlfn.STDEV.S(data!C:C)</f>
        <v>-1.0546404379106251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  <c r="J49" s="8">
        <f>(data!J49-AVERAGE(data!J:J))/_xlfn.STDEV.S(data!J:J)</f>
        <v>-1.2984218075028078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1</v>
      </c>
      <c r="Q49" s="2">
        <v>0</v>
      </c>
      <c r="R49" s="2">
        <v>0</v>
      </c>
      <c r="S49" s="6" cm="1">
        <f t="array" ref="S49">$Y$2+MMULT(C49:R49,$Y$3:$Y$18)</f>
        <v>-12.661824899458736</v>
      </c>
      <c r="T49" s="7">
        <f t="shared" si="1"/>
        <v>3.1698443592522326E-6</v>
      </c>
      <c r="U49" s="3">
        <f t="shared" si="0"/>
        <v>0</v>
      </c>
    </row>
    <row r="50" spans="1:21">
      <c r="A50" s="2">
        <v>49</v>
      </c>
      <c r="B50" s="2">
        <v>0</v>
      </c>
      <c r="C50" s="8">
        <f>(data!C50-AVERAGE(data!C:C))/_xlfn.STDEV.S(data!C:C)</f>
        <v>-0.63460400515534465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8">
        <f>(data!J50-AVERAGE(data!J:J))/_xlfn.STDEV.S(data!J:J)</f>
        <v>0.84109536071923596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6" cm="1">
        <f t="array" ref="S50">$Y$2+MMULT(C50:R50,$Y$3:$Y$18)</f>
        <v>-10.655353752478453</v>
      </c>
      <c r="T50" s="7">
        <f t="shared" si="1"/>
        <v>2.3573736483452945E-5</v>
      </c>
      <c r="U50" s="3">
        <f t="shared" si="0"/>
        <v>0</v>
      </c>
    </row>
    <row r="51" spans="1:21">
      <c r="A51" s="2">
        <v>50</v>
      </c>
      <c r="B51" s="2">
        <v>0</v>
      </c>
      <c r="C51" s="8">
        <f>(data!C51-AVERAGE(data!C:C))/_xlfn.STDEV.S(data!C:C)</f>
        <v>-1.3906695841148498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8">
        <f>(data!J51-AVERAGE(data!J:J))/_xlfn.STDEV.S(data!J:J)</f>
        <v>-0.26555145043009704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6" cm="1">
        <f t="array" ref="S51">$Y$2+MMULT(C51:R51,$Y$3:$Y$18)</f>
        <v>-12.861241063279692</v>
      </c>
      <c r="T51" s="7">
        <f t="shared" si="1"/>
        <v>2.5967661902394205E-6</v>
      </c>
      <c r="U51" s="3">
        <f t="shared" si="0"/>
        <v>0</v>
      </c>
    </row>
    <row r="52" spans="1:21">
      <c r="A52" s="2">
        <v>51</v>
      </c>
      <c r="B52" s="2">
        <v>0</v>
      </c>
      <c r="C52" s="8">
        <f>(data!C52-AVERAGE(data!C:C))/_xlfn.STDEV.S(data!C:C)</f>
        <v>0.33147979018180074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8">
        <f>(data!J52-AVERAGE(data!J:J))/_xlfn.STDEV.S(data!J:J)</f>
        <v>-1.2984218075028078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1</v>
      </c>
      <c r="Q52" s="2">
        <v>0</v>
      </c>
      <c r="R52" s="2">
        <v>0</v>
      </c>
      <c r="S52" s="6" cm="1">
        <f t="array" ref="S52">$Y$2+MMULT(C52:R52,$Y$3:$Y$18)</f>
        <v>-5.9833807136033741</v>
      </c>
      <c r="T52" s="7">
        <f t="shared" si="1"/>
        <v>2.5139555888964143E-3</v>
      </c>
      <c r="U52" s="3">
        <f t="shared" si="0"/>
        <v>0</v>
      </c>
    </row>
    <row r="53" spans="1:21">
      <c r="A53" s="2">
        <v>52</v>
      </c>
      <c r="B53" s="2">
        <v>0</v>
      </c>
      <c r="C53" s="8">
        <f>(data!C53-AVERAGE(data!C:C))/_xlfn.STDEV.S(data!C:C)</f>
        <v>-1.0126367946350971</v>
      </c>
      <c r="D53" s="2">
        <v>1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8">
        <f>(data!J53-AVERAGE(data!J:J))/_xlfn.STDEV.S(data!J:J)</f>
        <v>-1.2984218075028078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1</v>
      </c>
      <c r="R53" s="2">
        <v>0</v>
      </c>
      <c r="S53" s="6" cm="1">
        <f t="array" ref="S53">$Y$2+MMULT(C53:R53,$Y$3:$Y$18)</f>
        <v>-13.791824368280796</v>
      </c>
      <c r="T53" s="7">
        <f t="shared" si="1"/>
        <v>1.0239678869396465E-6</v>
      </c>
      <c r="U53" s="3">
        <f t="shared" si="0"/>
        <v>0</v>
      </c>
    </row>
    <row r="54" spans="1:21">
      <c r="A54" s="2">
        <v>53</v>
      </c>
      <c r="B54" s="2">
        <v>0</v>
      </c>
      <c r="C54" s="8">
        <f>(data!C54-AVERAGE(data!C:C))/_xlfn.STDEV.S(data!C:C)</f>
        <v>-0.7186112917064007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8">
        <f>(data!J54-AVERAGE(data!J:J))/_xlfn.STDEV.S(data!J:J)</f>
        <v>0.47221309033612496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0</v>
      </c>
      <c r="R54" s="2">
        <v>0</v>
      </c>
      <c r="S54" s="6" cm="1">
        <f t="array" ref="S54">$Y$2+MMULT(C54:R54,$Y$3:$Y$18)</f>
        <v>-9.8517458152083428</v>
      </c>
      <c r="T54" s="7">
        <f t="shared" si="1"/>
        <v>5.2652414077622427E-5</v>
      </c>
      <c r="U54" s="3">
        <f t="shared" si="0"/>
        <v>0</v>
      </c>
    </row>
    <row r="55" spans="1:21">
      <c r="A55" s="2">
        <v>54</v>
      </c>
      <c r="B55" s="2">
        <v>0</v>
      </c>
      <c r="C55" s="8">
        <f>(data!C55-AVERAGE(data!C:C))/_xlfn.STDEV.S(data!C:C)</f>
        <v>-1.1806513677372095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8">
        <f>(data!J55-AVERAGE(data!J:J))/_xlfn.STDEV.S(data!J:J)</f>
        <v>-0.56065726673658578</v>
      </c>
      <c r="K55" s="2">
        <v>0</v>
      </c>
      <c r="L55" s="2">
        <v>1</v>
      </c>
      <c r="M55" s="2">
        <v>0</v>
      </c>
      <c r="N55" s="2">
        <v>1</v>
      </c>
      <c r="O55" s="2">
        <v>1</v>
      </c>
      <c r="P55" s="2">
        <v>1</v>
      </c>
      <c r="Q55" s="2">
        <v>0</v>
      </c>
      <c r="R55" s="2">
        <v>0</v>
      </c>
      <c r="S55" s="6" cm="1">
        <f t="array" ref="S55">$Y$2+MMULT(C55:R55,$Y$3:$Y$18)</f>
        <v>-14.337554029751139</v>
      </c>
      <c r="T55" s="7">
        <f t="shared" si="1"/>
        <v>5.933065504383487E-7</v>
      </c>
      <c r="U55" s="3">
        <f t="shared" si="0"/>
        <v>0</v>
      </c>
    </row>
    <row r="56" spans="1:21">
      <c r="A56" s="2">
        <v>55</v>
      </c>
      <c r="B56" s="2">
        <v>1</v>
      </c>
      <c r="C56" s="8">
        <f>(data!C56-AVERAGE(data!C:C))/_xlfn.STDEV.S(data!C:C)</f>
        <v>1.6755963749986986</v>
      </c>
      <c r="D56" s="2">
        <v>1</v>
      </c>
      <c r="E56" s="2">
        <v>1</v>
      </c>
      <c r="F56" s="2">
        <v>0</v>
      </c>
      <c r="G56" s="2">
        <v>1</v>
      </c>
      <c r="H56" s="2">
        <v>0</v>
      </c>
      <c r="I56" s="2">
        <v>0</v>
      </c>
      <c r="J56" s="8">
        <f>(data!J56-AVERAGE(data!J:J))/_xlfn.STDEV.S(data!J:J)</f>
        <v>2.9554365876391778E-2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  <c r="S56" s="6" cm="1">
        <f t="array" ref="S56">$Y$2+MMULT(C56:R56,$Y$3:$Y$18)</f>
        <v>3.6708895524045122</v>
      </c>
      <c r="T56" s="7">
        <f t="shared" si="1"/>
        <v>0.97517799735367461</v>
      </c>
      <c r="U56" s="3">
        <f t="shared" si="0"/>
        <v>1</v>
      </c>
    </row>
    <row r="57" spans="1:21">
      <c r="A57" s="2">
        <v>56</v>
      </c>
      <c r="B57" s="2">
        <v>0</v>
      </c>
      <c r="C57" s="8">
        <f>(data!C57-AVERAGE(data!C:C))/_xlfn.STDEV.S(data!C:C)</f>
        <v>-1.3906695841148498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8">
        <f>(data!J57-AVERAGE(data!J:J))/_xlfn.STDEV.S(data!J:J)</f>
        <v>-1.1508688993495635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0</v>
      </c>
      <c r="R57" s="2">
        <v>0</v>
      </c>
      <c r="S57" s="6" cm="1">
        <f t="array" ref="S57">$Y$2+MMULT(C57:R57,$Y$3:$Y$18)</f>
        <v>-14.640864358900453</v>
      </c>
      <c r="T57" s="7">
        <f t="shared" si="1"/>
        <v>4.3807978002519167E-7</v>
      </c>
      <c r="U57" s="3">
        <f t="shared" si="0"/>
        <v>0</v>
      </c>
    </row>
    <row r="58" spans="1:21">
      <c r="A58" s="2">
        <v>57</v>
      </c>
      <c r="B58" s="2">
        <v>0</v>
      </c>
      <c r="C58" s="8">
        <f>(data!C58-AVERAGE(data!C:C))/_xlfn.STDEV.S(data!C:C)</f>
        <v>-1.1806513677372095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8">
        <f>(data!J58-AVERAGE(data!J:J))/_xlfn.STDEV.S(data!J:J)</f>
        <v>-0.33932790450671924</v>
      </c>
      <c r="K58" s="2">
        <v>0</v>
      </c>
      <c r="L58" s="2">
        <v>1</v>
      </c>
      <c r="M58" s="2">
        <v>0</v>
      </c>
      <c r="N58" s="2">
        <v>1</v>
      </c>
      <c r="O58" s="2">
        <v>1</v>
      </c>
      <c r="P58" s="2">
        <v>1</v>
      </c>
      <c r="Q58" s="2">
        <v>0</v>
      </c>
      <c r="R58" s="2">
        <v>0</v>
      </c>
      <c r="S58" s="6" cm="1">
        <f t="array" ref="S58">$Y$2+MMULT(C58:R58,$Y$3:$Y$18)</f>
        <v>-14.206262941842763</v>
      </c>
      <c r="T58" s="7">
        <f t="shared" si="1"/>
        <v>6.7654720169118049E-7</v>
      </c>
      <c r="U58" s="3">
        <f t="shared" si="0"/>
        <v>0</v>
      </c>
    </row>
    <row r="59" spans="1:21">
      <c r="A59" s="2">
        <v>58</v>
      </c>
      <c r="B59" s="2">
        <v>0</v>
      </c>
      <c r="C59" s="8">
        <f>(data!C59-AVERAGE(data!C:C))/_xlfn.STDEV.S(data!C:C)</f>
        <v>-1.4746768706659057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8">
        <f>(data!J59-AVERAGE(data!J:J))/_xlfn.STDEV.S(data!J:J)</f>
        <v>1.0624247229491026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  <c r="S59" s="6" cm="1">
        <f t="array" ref="S59">$Y$2+MMULT(C59:R59,$Y$3:$Y$18)</f>
        <v>-16.829440889143594</v>
      </c>
      <c r="T59" s="7">
        <f t="shared" si="1"/>
        <v>4.9098323946294357E-8</v>
      </c>
      <c r="U59" s="3">
        <f t="shared" si="0"/>
        <v>0</v>
      </c>
    </row>
    <row r="60" spans="1:21">
      <c r="A60" s="2">
        <v>59</v>
      </c>
      <c r="B60" s="2">
        <v>1</v>
      </c>
      <c r="C60" s="8">
        <f>(data!C60-AVERAGE(data!C:C))/_xlfn.STDEV.S(data!C:C)</f>
        <v>0.49949436328391295</v>
      </c>
      <c r="D60" s="2">
        <v>1</v>
      </c>
      <c r="E60" s="2">
        <v>1</v>
      </c>
      <c r="F60" s="2">
        <v>1</v>
      </c>
      <c r="G60" s="2">
        <v>1</v>
      </c>
      <c r="H60" s="2">
        <v>0</v>
      </c>
      <c r="I60" s="2">
        <v>0</v>
      </c>
      <c r="J60" s="8">
        <f>(data!J60-AVERAGE(data!J:J))/_xlfn.STDEV.S(data!J:J)</f>
        <v>-0.78198662896645244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6" cm="1">
        <f t="array" ref="S60">$Y$2+MMULT(C60:R60,$Y$3:$Y$18)</f>
        <v>-4.1816876723100922</v>
      </c>
      <c r="T60" s="7">
        <f t="shared" si="1"/>
        <v>1.5042963645339571E-2</v>
      </c>
      <c r="U60" s="3">
        <f t="shared" si="0"/>
        <v>0</v>
      </c>
    </row>
    <row r="61" spans="1:21">
      <c r="A61" s="2">
        <v>60</v>
      </c>
      <c r="B61" s="2">
        <v>0</v>
      </c>
      <c r="C61" s="8">
        <f>(data!C61-AVERAGE(data!C:C))/_xlfn.STDEV.S(data!C:C)</f>
        <v>-0.63460400515534465</v>
      </c>
      <c r="D61" s="2">
        <v>1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8">
        <f>(data!J61-AVERAGE(data!J:J))/_xlfn.STDEV.S(data!J:J)</f>
        <v>-1.0770924452729411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6" cm="1">
        <f t="array" ref="S61">$Y$2+MMULT(C61:R61,$Y$3:$Y$18)</f>
        <v>-10.828686248106973</v>
      </c>
      <c r="T61" s="7">
        <f t="shared" si="1"/>
        <v>1.9822238964319704E-5</v>
      </c>
      <c r="U61" s="3">
        <f t="shared" si="0"/>
        <v>0</v>
      </c>
    </row>
    <row r="62" spans="1:21">
      <c r="A62" s="2">
        <v>61</v>
      </c>
      <c r="B62" s="2">
        <v>1</v>
      </c>
      <c r="C62" s="8">
        <f>(data!C62-AVERAGE(data!C:C))/_xlfn.STDEV.S(data!C:C)</f>
        <v>1.6755963749986986</v>
      </c>
      <c r="D62" s="2">
        <v>1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8">
        <f>(data!J62-AVERAGE(data!J:J))/_xlfn.STDEV.S(data!J:J)</f>
        <v>-0.63443372081320804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0</v>
      </c>
      <c r="R62" s="2">
        <v>0</v>
      </c>
      <c r="S62" s="6" cm="1">
        <f t="array" ref="S62">$Y$2+MMULT(C62:R62,$Y$3:$Y$18)</f>
        <v>5.0917616974113606</v>
      </c>
      <c r="T62" s="7">
        <f t="shared" si="1"/>
        <v>0.99389037609338815</v>
      </c>
      <c r="U62" s="3">
        <f t="shared" si="0"/>
        <v>1</v>
      </c>
    </row>
    <row r="63" spans="1:21">
      <c r="A63" s="2">
        <v>62</v>
      </c>
      <c r="B63" s="2">
        <v>1</v>
      </c>
      <c r="C63" s="8">
        <f>(data!C63-AVERAGE(data!C:C))/_xlfn.STDEV.S(data!C:C)</f>
        <v>1.0875453691413057</v>
      </c>
      <c r="D63" s="2">
        <v>1</v>
      </c>
      <c r="E63" s="2">
        <v>1</v>
      </c>
      <c r="F63" s="2">
        <v>1</v>
      </c>
      <c r="G63" s="2">
        <v>1</v>
      </c>
      <c r="H63" s="2">
        <v>0</v>
      </c>
      <c r="I63" s="2">
        <v>0</v>
      </c>
      <c r="J63" s="8">
        <f>(data!J63-AVERAGE(data!J:J))/_xlfn.STDEV.S(data!J:J)</f>
        <v>2.4641773504049245</v>
      </c>
      <c r="K63" s="2">
        <v>1</v>
      </c>
      <c r="L63" s="2">
        <v>0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6" cm="1">
        <f t="array" ref="S63">$Y$2+MMULT(C63:R63,$Y$3:$Y$18)</f>
        <v>0.38286146024210055</v>
      </c>
      <c r="T63" s="7">
        <f t="shared" si="1"/>
        <v>0.5945630665459688</v>
      </c>
      <c r="U63" s="3">
        <f t="shared" si="0"/>
        <v>1</v>
      </c>
    </row>
    <row r="64" spans="1:21">
      <c r="A64" s="2">
        <v>63</v>
      </c>
      <c r="B64" s="2">
        <v>0</v>
      </c>
      <c r="C64" s="8">
        <f>(data!C64-AVERAGE(data!C:C))/_xlfn.STDEV.S(data!C:C)</f>
        <v>-0.21456757240006402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8">
        <f>(data!J64-AVERAGE(data!J:J))/_xlfn.STDEV.S(data!J:J)</f>
        <v>-0.26555145043009704</v>
      </c>
      <c r="K64" s="2">
        <v>0</v>
      </c>
      <c r="L64" s="2">
        <v>1</v>
      </c>
      <c r="M64" s="2">
        <v>0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6" cm="1">
        <f t="array" ref="S64">$Y$2+MMULT(C64:R64,$Y$3:$Y$18)</f>
        <v>-10.286065952088233</v>
      </c>
      <c r="T64" s="7">
        <f t="shared" si="1"/>
        <v>3.4103857512901319E-5</v>
      </c>
      <c r="U64" s="3">
        <f t="shared" si="0"/>
        <v>0</v>
      </c>
    </row>
    <row r="65" spans="1:21">
      <c r="A65" s="2">
        <v>64</v>
      </c>
      <c r="B65" s="2">
        <v>0</v>
      </c>
      <c r="C65" s="8">
        <f>(data!C65-AVERAGE(data!C:C))/_xlfn.STDEV.S(data!C:C)</f>
        <v>-1.2226550110127374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8">
        <f>(data!J65-AVERAGE(data!J:J))/_xlfn.STDEV.S(data!J:J)</f>
        <v>2.9554365876391778E-2</v>
      </c>
      <c r="K65" s="2">
        <v>0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0</v>
      </c>
      <c r="R65" s="2">
        <v>0</v>
      </c>
      <c r="S65" s="6" cm="1">
        <f t="array" ref="S65">$Y$2+MMULT(C65:R65,$Y$3:$Y$18)</f>
        <v>-12.741052714195554</v>
      </c>
      <c r="T65" s="7">
        <f t="shared" si="1"/>
        <v>2.9283962416289592E-6</v>
      </c>
      <c r="U65" s="3">
        <f t="shared" si="0"/>
        <v>0</v>
      </c>
    </row>
    <row r="66" spans="1:21">
      <c r="A66" s="2">
        <v>65</v>
      </c>
      <c r="B66" s="2">
        <v>0</v>
      </c>
      <c r="C66" s="8">
        <f>(data!C66-AVERAGE(data!C:C))/_xlfn.STDEV.S(data!C:C)</f>
        <v>-0.55059671860428849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8">
        <f>(data!J66-AVERAGE(data!J:J))/_xlfn.STDEV.S(data!J:J)</f>
        <v>0.47221309033612496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1</v>
      </c>
      <c r="Q66" s="2">
        <v>0</v>
      </c>
      <c r="R66" s="2">
        <v>0</v>
      </c>
      <c r="S66" s="6" cm="1">
        <f t="array" ref="S66">$Y$2+MMULT(C66:R66,$Y$3:$Y$18)</f>
        <v>-11.752508390571332</v>
      </c>
      <c r="T66" s="7">
        <f t="shared" si="1"/>
        <v>7.869498188868382E-6</v>
      </c>
      <c r="U66" s="3">
        <f t="shared" ref="U66:U129" si="2">IF(T66&gt;=cut,1,0)</f>
        <v>0</v>
      </c>
    </row>
    <row r="67" spans="1:21">
      <c r="A67" s="2">
        <v>66</v>
      </c>
      <c r="B67" s="2">
        <v>0</v>
      </c>
      <c r="C67" s="8">
        <f>(data!C67-AVERAGE(data!C:C))/_xlfn.STDEV.S(data!C:C)</f>
        <v>0.1634652170796885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8">
        <f>(data!J67-AVERAGE(data!J:J))/_xlfn.STDEV.S(data!J:J)</f>
        <v>-1.2984218075028078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0</v>
      </c>
      <c r="R67" s="2">
        <v>0</v>
      </c>
      <c r="S67" s="6" cm="1">
        <f t="array" ref="S67">$Y$2+MMULT(C67:R67,$Y$3:$Y$18)</f>
        <v>-6.1069548736585944</v>
      </c>
      <c r="T67" s="7">
        <f t="shared" ref="T67:T130" si="3">EXP(S67)/(1+EXP(S67))</f>
        <v>2.222373033864143E-3</v>
      </c>
      <c r="U67" s="3">
        <f t="shared" si="2"/>
        <v>0</v>
      </c>
    </row>
    <row r="68" spans="1:21">
      <c r="A68" s="2">
        <v>67</v>
      </c>
      <c r="B68" s="2">
        <v>0</v>
      </c>
      <c r="C68" s="8">
        <f>(data!C68-AVERAGE(data!C:C))/_xlfn.STDEV.S(data!C:C)</f>
        <v>-0.38258214550217629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8">
        <f>(data!J68-AVERAGE(data!J:J))/_xlfn.STDEV.S(data!J:J)</f>
        <v>0.47221309033612496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>
        <v>1</v>
      </c>
      <c r="Q68" s="2">
        <v>0</v>
      </c>
      <c r="R68" s="2">
        <v>1</v>
      </c>
      <c r="S68" s="6" cm="1">
        <f t="array" ref="S68">$Y$2+MMULT(C68:R68,$Y$3:$Y$18)</f>
        <v>-7.4504881047118374</v>
      </c>
      <c r="T68" s="7">
        <f t="shared" si="3"/>
        <v>5.8082032874584339E-4</v>
      </c>
      <c r="U68" s="3">
        <f t="shared" si="2"/>
        <v>0</v>
      </c>
    </row>
    <row r="69" spans="1:21">
      <c r="A69" s="2">
        <v>68</v>
      </c>
      <c r="B69" s="2">
        <v>0</v>
      </c>
      <c r="C69" s="8">
        <f>(data!C69-AVERAGE(data!C:C))/_xlfn.STDEV.S(data!C:C)</f>
        <v>-0.55059671860428849</v>
      </c>
      <c r="D69" s="2">
        <v>1</v>
      </c>
      <c r="E69" s="2">
        <v>0</v>
      </c>
      <c r="F69" s="2">
        <v>1</v>
      </c>
      <c r="G69" s="2">
        <v>1</v>
      </c>
      <c r="H69" s="2">
        <v>0</v>
      </c>
      <c r="I69" s="2">
        <v>0</v>
      </c>
      <c r="J69" s="8">
        <f>(data!J69-AVERAGE(data!J:J))/_xlfn.STDEV.S(data!J:J)</f>
        <v>-1.2984218075028078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0</v>
      </c>
      <c r="R69" s="2">
        <v>0</v>
      </c>
      <c r="S69" s="6" cm="1">
        <f t="array" ref="S69">$Y$2+MMULT(C69:R69,$Y$3:$Y$18)</f>
        <v>-13.225786501206219</v>
      </c>
      <c r="T69" s="7">
        <f t="shared" si="3"/>
        <v>1.8034874330890304E-6</v>
      </c>
      <c r="U69" s="3">
        <f t="shared" si="2"/>
        <v>0</v>
      </c>
    </row>
    <row r="70" spans="1:21">
      <c r="A70" s="2">
        <v>69</v>
      </c>
      <c r="B70" s="2">
        <v>0</v>
      </c>
      <c r="C70" s="8">
        <f>(data!C70-AVERAGE(data!C:C))/_xlfn.STDEV.S(data!C:C)</f>
        <v>0.45749072000838492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8">
        <f>(data!J70-AVERAGE(data!J:J))/_xlfn.STDEV.S(data!J:J)</f>
        <v>-1.2246453534261856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1</v>
      </c>
      <c r="S70" s="6" cm="1">
        <f t="array" ref="S70">$Y$2+MMULT(C70:R70,$Y$3:$Y$18)</f>
        <v>-6.1680776289445216</v>
      </c>
      <c r="T70" s="7">
        <f t="shared" si="3"/>
        <v>2.0908790633787154E-3</v>
      </c>
      <c r="U70" s="3">
        <f t="shared" si="2"/>
        <v>0</v>
      </c>
    </row>
    <row r="71" spans="1:21">
      <c r="A71" s="2">
        <v>70</v>
      </c>
      <c r="B71" s="2">
        <v>0</v>
      </c>
      <c r="C71" s="8">
        <f>(data!C71-AVERAGE(data!C:C))/_xlfn.STDEV.S(data!C:C)</f>
        <v>0.1634652170796885</v>
      </c>
      <c r="D71" s="2">
        <v>1</v>
      </c>
      <c r="E71" s="2">
        <v>1</v>
      </c>
      <c r="F71" s="2">
        <v>1</v>
      </c>
      <c r="G71" s="2">
        <v>0</v>
      </c>
      <c r="H71" s="2">
        <v>0</v>
      </c>
      <c r="I71" s="2">
        <v>0</v>
      </c>
      <c r="J71" s="8">
        <f>(data!J71-AVERAGE(data!J:J))/_xlfn.STDEV.S(data!J:J)</f>
        <v>2.0215186259451912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0</v>
      </c>
      <c r="R71" s="2">
        <v>0</v>
      </c>
      <c r="S71" s="6" cm="1">
        <f t="array" ref="S71">$Y$2+MMULT(C71:R71,$Y$3:$Y$18)</f>
        <v>-5.4859361005575575</v>
      </c>
      <c r="T71" s="7">
        <f t="shared" si="3"/>
        <v>4.1275462017567877E-3</v>
      </c>
      <c r="U71" s="3">
        <f t="shared" si="2"/>
        <v>0</v>
      </c>
    </row>
    <row r="72" spans="1:21">
      <c r="A72" s="2">
        <v>71</v>
      </c>
      <c r="B72" s="2">
        <v>0</v>
      </c>
      <c r="C72" s="8">
        <f>(data!C72-AVERAGE(data!C:C))/_xlfn.STDEV.S(data!C:C)</f>
        <v>0.5835016498349691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8">
        <f>(data!J72-AVERAGE(data!J:J))/_xlfn.STDEV.S(data!J:J)</f>
        <v>2.9554365876391778E-2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1</v>
      </c>
      <c r="Q72" s="2">
        <v>1</v>
      </c>
      <c r="R72" s="2">
        <v>0</v>
      </c>
      <c r="S72" s="6" cm="1">
        <f t="array" ref="S72">$Y$2+MMULT(C72:R72,$Y$3:$Y$18)</f>
        <v>-1.8278890235384804</v>
      </c>
      <c r="T72" s="7">
        <f t="shared" si="3"/>
        <v>0.13848994263176154</v>
      </c>
      <c r="U72" s="3">
        <f t="shared" si="2"/>
        <v>0</v>
      </c>
    </row>
    <row r="73" spans="1:21">
      <c r="A73" s="2">
        <v>72</v>
      </c>
      <c r="B73" s="2">
        <v>0</v>
      </c>
      <c r="C73" s="8">
        <f>(data!C73-AVERAGE(data!C:C))/_xlfn.STDEV.S(data!C:C)</f>
        <v>-1.2646586542882654</v>
      </c>
      <c r="D73" s="2">
        <v>1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8">
        <f>(data!J73-AVERAGE(data!J:J))/_xlfn.STDEV.S(data!J:J)</f>
        <v>2.9554365876391778E-2</v>
      </c>
      <c r="K73" s="2">
        <v>0</v>
      </c>
      <c r="L73" s="2">
        <v>1</v>
      </c>
      <c r="M73" s="2">
        <v>0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6" cm="1">
        <f t="array" ref="S73">$Y$2+MMULT(C73:R73,$Y$3:$Y$18)</f>
        <v>-16.314390115119551</v>
      </c>
      <c r="T73" s="7">
        <f t="shared" si="3"/>
        <v>8.2177014963884722E-8</v>
      </c>
      <c r="U73" s="3">
        <f t="shared" si="2"/>
        <v>0</v>
      </c>
    </row>
    <row r="74" spans="1:21">
      <c r="A74" s="2">
        <v>73</v>
      </c>
      <c r="B74" s="2">
        <v>0</v>
      </c>
      <c r="C74" s="8">
        <f>(data!C74-AVERAGE(data!C:C))/_xlfn.STDEV.S(data!C:C)</f>
        <v>-1.0966440811861533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8">
        <f>(data!J74-AVERAGE(data!J:J))/_xlfn.STDEV.S(data!J:J)</f>
        <v>-0.33932790450671924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  <c r="S74" s="6" cm="1">
        <f t="array" ref="S74">$Y$2+MMULT(C74:R74,$Y$3:$Y$18)</f>
        <v>-14.890643686493162</v>
      </c>
      <c r="T74" s="7">
        <f t="shared" si="3"/>
        <v>3.4125220540412124E-7</v>
      </c>
      <c r="U74" s="3">
        <f t="shared" si="2"/>
        <v>0</v>
      </c>
    </row>
    <row r="75" spans="1:21">
      <c r="A75" s="2">
        <v>74</v>
      </c>
      <c r="B75" s="2">
        <v>0</v>
      </c>
      <c r="C75" s="8">
        <f>(data!C75-AVERAGE(data!C:C))/_xlfn.STDEV.S(data!C:C)</f>
        <v>1.6755963749986986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8">
        <f>(data!J75-AVERAGE(data!J:J))/_xlfn.STDEV.S(data!J:J)</f>
        <v>-1.003315991196319</v>
      </c>
      <c r="K75" s="2">
        <v>0</v>
      </c>
      <c r="L75" s="2">
        <v>1</v>
      </c>
      <c r="M75" s="2">
        <v>0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6" cm="1">
        <f t="array" ref="S75">$Y$2+MMULT(C75:R75,$Y$3:$Y$18)</f>
        <v>3.9605709649907208</v>
      </c>
      <c r="T75" s="7">
        <f t="shared" si="3"/>
        <v>0.98130396812846199</v>
      </c>
      <c r="U75" s="3">
        <f t="shared" si="2"/>
        <v>1</v>
      </c>
    </row>
    <row r="76" spans="1:21">
      <c r="A76" s="2">
        <v>75</v>
      </c>
      <c r="B76" s="2">
        <v>0</v>
      </c>
      <c r="C76" s="8">
        <f>(data!C76-AVERAGE(data!C:C))/_xlfn.STDEV.S(data!C:C)</f>
        <v>-1.0966440811861533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8">
        <f>(data!J76-AVERAGE(data!J:J))/_xlfn.STDEV.S(data!J:J)</f>
        <v>-1.003315991196319</v>
      </c>
      <c r="K76" s="2">
        <v>0</v>
      </c>
      <c r="L76" s="2">
        <v>1</v>
      </c>
      <c r="M76" s="2">
        <v>0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 s="6" cm="1">
        <f t="array" ref="S76">$Y$2+MMULT(C76:R76,$Y$3:$Y$18)</f>
        <v>-12.562077557962585</v>
      </c>
      <c r="T76" s="7">
        <f t="shared" si="3"/>
        <v>3.5023336297126925E-6</v>
      </c>
      <c r="U76" s="3">
        <f t="shared" si="2"/>
        <v>0</v>
      </c>
    </row>
    <row r="77" spans="1:21">
      <c r="A77" s="2">
        <v>76</v>
      </c>
      <c r="B77" s="2">
        <v>0</v>
      </c>
      <c r="C77" s="8">
        <f>(data!C77-AVERAGE(data!C:C))/_xlfn.STDEV.S(data!C:C)</f>
        <v>0.33147979018180074</v>
      </c>
      <c r="D77" s="2">
        <v>1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8">
        <f>(data!J77-AVERAGE(data!J:J))/_xlfn.STDEV.S(data!J:J)</f>
        <v>0.54598954441274716</v>
      </c>
      <c r="K77" s="2">
        <v>0</v>
      </c>
      <c r="L77" s="2">
        <v>0</v>
      </c>
      <c r="M77" s="2">
        <v>0</v>
      </c>
      <c r="N77" s="2">
        <v>1</v>
      </c>
      <c r="O77" s="2">
        <v>1</v>
      </c>
      <c r="P77" s="2">
        <v>1</v>
      </c>
      <c r="Q77" s="2">
        <v>0</v>
      </c>
      <c r="R77" s="2">
        <v>1</v>
      </c>
      <c r="S77" s="6" cm="1">
        <f t="array" ref="S77">$Y$2+MMULT(C77:R77,$Y$3:$Y$18)</f>
        <v>-4.3507398567526954</v>
      </c>
      <c r="T77" s="7">
        <f t="shared" si="3"/>
        <v>1.2733045434019661E-2</v>
      </c>
      <c r="U77" s="3">
        <f t="shared" si="2"/>
        <v>0</v>
      </c>
    </row>
    <row r="78" spans="1:21">
      <c r="A78" s="2">
        <v>77</v>
      </c>
      <c r="B78" s="2">
        <v>0</v>
      </c>
      <c r="C78" s="8">
        <f>(data!C78-AVERAGE(data!C:C))/_xlfn.STDEV.S(data!C:C)</f>
        <v>-0.21456757240006402</v>
      </c>
      <c r="D78" s="2">
        <v>1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8">
        <f>(data!J78-AVERAGE(data!J:J))/_xlfn.STDEV.S(data!J:J)</f>
        <v>-1.2246453534261856</v>
      </c>
      <c r="K78" s="2">
        <v>0</v>
      </c>
      <c r="L78" s="2">
        <v>1</v>
      </c>
      <c r="M78" s="2">
        <v>1</v>
      </c>
      <c r="N78" s="2">
        <v>1</v>
      </c>
      <c r="O78" s="2">
        <v>0</v>
      </c>
      <c r="P78" s="2">
        <v>1</v>
      </c>
      <c r="Q78" s="2">
        <v>0</v>
      </c>
      <c r="R78" s="2">
        <v>0</v>
      </c>
      <c r="S78" s="6" cm="1">
        <f t="array" ref="S78">$Y$2+MMULT(C78:R78,$Y$3:$Y$18)</f>
        <v>-9.3030590533945947</v>
      </c>
      <c r="T78" s="7">
        <f t="shared" si="3"/>
        <v>9.1136680550274625E-5</v>
      </c>
      <c r="U78" s="3">
        <f t="shared" si="2"/>
        <v>0</v>
      </c>
    </row>
    <row r="79" spans="1:21">
      <c r="A79" s="2">
        <v>78</v>
      </c>
      <c r="B79" s="2">
        <v>0</v>
      </c>
      <c r="C79" s="8">
        <f>(data!C79-AVERAGE(data!C:C))/_xlfn.STDEV.S(data!C:C)</f>
        <v>-0.92862950808404099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8">
        <f>(data!J79-AVERAGE(data!J:J))/_xlfn.STDEV.S(data!J:J)</f>
        <v>0.17710727402963619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1</v>
      </c>
      <c r="Q79" s="2">
        <v>0</v>
      </c>
      <c r="R79" s="2">
        <v>0</v>
      </c>
      <c r="S79" s="6" cm="1">
        <f t="array" ref="S79">$Y$2+MMULT(C79:R79,$Y$3:$Y$18)</f>
        <v>-11.278516396279612</v>
      </c>
      <c r="T79" s="7">
        <f t="shared" si="3"/>
        <v>1.2641455345060446E-5</v>
      </c>
      <c r="U79" s="3">
        <f t="shared" si="2"/>
        <v>0</v>
      </c>
    </row>
    <row r="80" spans="1:21">
      <c r="A80" s="2">
        <v>79</v>
      </c>
      <c r="B80" s="2">
        <v>0</v>
      </c>
      <c r="C80" s="8">
        <f>(data!C80-AVERAGE(data!C:C))/_xlfn.STDEV.S(data!C:C)</f>
        <v>-1.3486659408393216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8">
        <f>(data!J80-AVERAGE(data!J:J))/_xlfn.STDEV.S(data!J:J)</f>
        <v>-0.63443372081320804</v>
      </c>
      <c r="K80" s="2">
        <v>0</v>
      </c>
      <c r="L80" s="2">
        <v>1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6" cm="1">
        <f t="array" ref="S80">$Y$2+MMULT(C80:R80,$Y$3:$Y$18)</f>
        <v>-12.82102709554348</v>
      </c>
      <c r="T80" s="7">
        <f t="shared" si="3"/>
        <v>2.703320302318457E-6</v>
      </c>
      <c r="U80" s="3">
        <f t="shared" si="2"/>
        <v>0</v>
      </c>
    </row>
    <row r="81" spans="1:21">
      <c r="A81" s="2">
        <v>80</v>
      </c>
      <c r="B81" s="2">
        <v>0</v>
      </c>
      <c r="C81" s="8">
        <f>(data!C81-AVERAGE(data!C:C))/_xlfn.STDEV.S(data!C:C)</f>
        <v>-0.29857485895112013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8">
        <f>(data!J81-AVERAGE(data!J:J))/_xlfn.STDEV.S(data!J:J)</f>
        <v>0.61976599848936942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1</v>
      </c>
      <c r="Q81" s="2">
        <v>0</v>
      </c>
      <c r="R81" s="2">
        <v>0</v>
      </c>
      <c r="S81" s="6" cm="1">
        <f t="array" ref="S81">$Y$2+MMULT(C81:R81,$Y$3:$Y$18)</f>
        <v>-9.4251595869279612</v>
      </c>
      <c r="T81" s="7">
        <f t="shared" si="3"/>
        <v>8.0662219480632705E-5</v>
      </c>
      <c r="U81" s="3">
        <f t="shared" si="2"/>
        <v>0</v>
      </c>
    </row>
    <row r="82" spans="1:21">
      <c r="A82" s="2">
        <v>81</v>
      </c>
      <c r="B82" s="2">
        <v>0</v>
      </c>
      <c r="C82" s="8">
        <f>(data!C82-AVERAGE(data!C:C))/_xlfn.STDEV.S(data!C:C)</f>
        <v>0.37348343345732876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8">
        <f>(data!J82-AVERAGE(data!J:J))/_xlfn.STDEV.S(data!J:J)</f>
        <v>-1.1508688993495635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0</v>
      </c>
      <c r="S82" s="6" cm="1">
        <f t="array" ref="S82">$Y$2+MMULT(C82:R82,$Y$3:$Y$18)</f>
        <v>-5.0433874362029272</v>
      </c>
      <c r="T82" s="7">
        <f t="shared" si="3"/>
        <v>6.4104964094205061E-3</v>
      </c>
      <c r="U82" s="3">
        <f t="shared" si="2"/>
        <v>0</v>
      </c>
    </row>
    <row r="83" spans="1:21">
      <c r="A83" s="2">
        <v>82</v>
      </c>
      <c r="B83" s="2">
        <v>1</v>
      </c>
      <c r="C83" s="8">
        <f>(data!C83-AVERAGE(data!C:C))/_xlfn.STDEV.S(data!C:C)</f>
        <v>1.4235745153455301</v>
      </c>
      <c r="D83" s="2">
        <v>1</v>
      </c>
      <c r="E83" s="2">
        <v>1</v>
      </c>
      <c r="F83" s="2">
        <v>1</v>
      </c>
      <c r="G83" s="2">
        <v>1</v>
      </c>
      <c r="H83" s="2">
        <v>0</v>
      </c>
      <c r="I83" s="2">
        <v>0</v>
      </c>
      <c r="J83" s="8">
        <f>(data!J83-AVERAGE(data!J:J))/_xlfn.STDEV.S(data!J:J)</f>
        <v>0.61976599848936942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1</v>
      </c>
      <c r="Q83" s="2">
        <v>0</v>
      </c>
      <c r="R83" s="2">
        <v>0</v>
      </c>
      <c r="S83" s="6" cm="1">
        <f t="array" ref="S83">$Y$2+MMULT(C83:R83,$Y$3:$Y$18)</f>
        <v>1.9591521873219211</v>
      </c>
      <c r="T83" s="7">
        <f t="shared" si="3"/>
        <v>0.87644117036376579</v>
      </c>
      <c r="U83" s="3">
        <f t="shared" si="2"/>
        <v>1</v>
      </c>
    </row>
    <row r="84" spans="1:21">
      <c r="A84" s="2">
        <v>83</v>
      </c>
      <c r="B84" s="2">
        <v>0</v>
      </c>
      <c r="C84" s="8">
        <f>(data!C84-AVERAGE(data!C:C))/_xlfn.STDEV.S(data!C:C)</f>
        <v>-1.3486659408393216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8">
        <f>(data!J84-AVERAGE(data!J:J))/_xlfn.STDEV.S(data!J:J)</f>
        <v>-1.0770924452729411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6" cm="1">
        <f t="array" ref="S84">$Y$2+MMULT(C84:R84,$Y$3:$Y$18)</f>
        <v>-13.411507900787216</v>
      </c>
      <c r="T84" s="7">
        <f t="shared" si="3"/>
        <v>1.4978056834684868E-6</v>
      </c>
      <c r="U84" s="3">
        <f t="shared" si="2"/>
        <v>0</v>
      </c>
    </row>
    <row r="85" spans="1:21">
      <c r="A85" s="2">
        <v>84</v>
      </c>
      <c r="B85" s="2">
        <v>0</v>
      </c>
      <c r="C85" s="8">
        <f>(data!C85-AVERAGE(data!C:C))/_xlfn.STDEV.S(data!C:C)</f>
        <v>-1.1806513677372095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8">
        <f>(data!J85-AVERAGE(data!J:J))/_xlfn.STDEV.S(data!J:J)</f>
        <v>-0.11799854227685262</v>
      </c>
      <c r="K85" s="2">
        <v>0</v>
      </c>
      <c r="L85" s="2">
        <v>1</v>
      </c>
      <c r="M85" s="2">
        <v>0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  <c r="S85" s="6" cm="1">
        <f t="array" ref="S85">$Y$2+MMULT(C85:R85,$Y$3:$Y$18)</f>
        <v>-15.956431227239106</v>
      </c>
      <c r="T85" s="7">
        <f t="shared" si="3"/>
        <v>1.1754655785427963E-7</v>
      </c>
      <c r="U85" s="3">
        <f t="shared" si="2"/>
        <v>0</v>
      </c>
    </row>
    <row r="86" spans="1:21">
      <c r="A86" s="2">
        <v>85</v>
      </c>
      <c r="B86" s="2">
        <v>0</v>
      </c>
      <c r="C86" s="8">
        <f>(data!C86-AVERAGE(data!C:C))/_xlfn.STDEV.S(data!C:C)</f>
        <v>-0.13056028584900792</v>
      </c>
      <c r="D86" s="2">
        <v>0</v>
      </c>
      <c r="E86" s="2">
        <v>1</v>
      </c>
      <c r="F86" s="2">
        <v>0</v>
      </c>
      <c r="G86" s="2">
        <v>1</v>
      </c>
      <c r="H86" s="2">
        <v>0</v>
      </c>
      <c r="I86" s="2">
        <v>0</v>
      </c>
      <c r="J86" s="8">
        <f>(data!J86-AVERAGE(data!J:J))/_xlfn.STDEV.S(data!J:J)</f>
        <v>-0.26555145043009704</v>
      </c>
      <c r="K86" s="2">
        <v>1</v>
      </c>
      <c r="L86" s="2">
        <v>0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0</v>
      </c>
      <c r="S86" s="6" cm="1">
        <f t="array" ref="S86">$Y$2+MMULT(C86:R86,$Y$3:$Y$18)</f>
        <v>-6.3711114523321655</v>
      </c>
      <c r="T86" s="7">
        <f t="shared" si="3"/>
        <v>1.7073373132447617E-3</v>
      </c>
      <c r="U86" s="3">
        <f t="shared" si="2"/>
        <v>0</v>
      </c>
    </row>
    <row r="87" spans="1:21">
      <c r="A87" s="2">
        <v>86</v>
      </c>
      <c r="B87" s="2">
        <v>0</v>
      </c>
      <c r="C87" s="8">
        <f>(data!C87-AVERAGE(data!C:C))/_xlfn.STDEV.S(data!C:C)</f>
        <v>-0.59260036187981657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8">
        <f>(data!J87-AVERAGE(data!J:J))/_xlfn.STDEV.S(data!J:J)</f>
        <v>1.1362011770257248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  <c r="S87" s="6" cm="1">
        <f t="array" ref="S87">$Y$2+MMULT(C87:R87,$Y$3:$Y$18)</f>
        <v>-8.7068430731671533</v>
      </c>
      <c r="T87" s="7">
        <f t="shared" si="3"/>
        <v>1.6542237453430299E-4</v>
      </c>
      <c r="U87" s="3">
        <f t="shared" si="2"/>
        <v>0</v>
      </c>
    </row>
    <row r="88" spans="1:21">
      <c r="A88" s="2">
        <v>87</v>
      </c>
      <c r="B88" s="2">
        <v>1</v>
      </c>
      <c r="C88" s="8">
        <f>(data!C88-AVERAGE(data!C:C))/_xlfn.STDEV.S(data!C:C)</f>
        <v>1.6755963749986986</v>
      </c>
      <c r="D88" s="2">
        <v>1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8">
        <f>(data!J88-AVERAGE(data!J:J))/_xlfn.STDEV.S(data!J:J)</f>
        <v>3.1281654370945242</v>
      </c>
      <c r="K88" s="2">
        <v>0</v>
      </c>
      <c r="L88" s="2">
        <v>0</v>
      </c>
      <c r="M88" s="2">
        <v>1</v>
      </c>
      <c r="N88" s="2">
        <v>0</v>
      </c>
      <c r="O88" s="2">
        <v>1</v>
      </c>
      <c r="P88" s="2">
        <v>1</v>
      </c>
      <c r="Q88" s="2">
        <v>0</v>
      </c>
      <c r="R88" s="2">
        <v>0</v>
      </c>
      <c r="S88" s="6" cm="1">
        <f t="array" ref="S88">$Y$2+MMULT(C88:R88,$Y$3:$Y$18)</f>
        <v>7.545242273993912</v>
      </c>
      <c r="T88" s="7">
        <f t="shared" si="3"/>
        <v>0.99947166011169042</v>
      </c>
      <c r="U88" s="3">
        <f t="shared" si="2"/>
        <v>1</v>
      </c>
    </row>
    <row r="89" spans="1:21">
      <c r="A89" s="2">
        <v>88</v>
      </c>
      <c r="B89" s="2">
        <v>0</v>
      </c>
      <c r="C89" s="8">
        <f>(data!C89-AVERAGE(data!C:C))/_xlfn.STDEV.S(data!C:C)</f>
        <v>-0.67660764843087262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8">
        <f>(data!J89-AVERAGE(data!J:J))/_xlfn.STDEV.S(data!J:J)</f>
        <v>-1.1508688993495635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1</v>
      </c>
      <c r="Q89" s="2">
        <v>0</v>
      </c>
      <c r="R89" s="2">
        <v>0</v>
      </c>
      <c r="S89" s="6" cm="1">
        <f t="array" ref="S89">$Y$2+MMULT(C89:R89,$Y$3:$Y$18)</f>
        <v>-10.564203967097754</v>
      </c>
      <c r="T89" s="7">
        <f t="shared" si="3"/>
        <v>2.5823392498915795E-5</v>
      </c>
      <c r="U89" s="3">
        <f t="shared" si="2"/>
        <v>0</v>
      </c>
    </row>
    <row r="90" spans="1:21">
      <c r="A90" s="2">
        <v>89</v>
      </c>
      <c r="B90" s="2">
        <v>0</v>
      </c>
      <c r="C90" s="8">
        <f>(data!C90-AVERAGE(data!C:C))/_xlfn.STDEV.S(data!C:C)</f>
        <v>0.28947614690627266</v>
      </c>
      <c r="D90" s="2">
        <v>0</v>
      </c>
      <c r="E90" s="2">
        <v>0</v>
      </c>
      <c r="F90" s="2">
        <v>1</v>
      </c>
      <c r="G90" s="2">
        <v>1</v>
      </c>
      <c r="H90" s="2">
        <v>0</v>
      </c>
      <c r="I90" s="2">
        <v>0</v>
      </c>
      <c r="J90" s="8">
        <f>(data!J90-AVERAGE(data!J:J))/_xlfn.STDEV.S(data!J:J)</f>
        <v>1.2837540851789693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6" cm="1">
        <f t="array" ref="S90">$Y$2+MMULT(C90:R90,$Y$3:$Y$18)</f>
        <v>-2.9854488667280914</v>
      </c>
      <c r="T90" s="7">
        <f t="shared" si="3"/>
        <v>4.808759081768197E-2</v>
      </c>
      <c r="U90" s="3">
        <f t="shared" si="2"/>
        <v>0</v>
      </c>
    </row>
    <row r="91" spans="1:21">
      <c r="A91" s="2">
        <v>90</v>
      </c>
      <c r="B91" s="2">
        <v>0</v>
      </c>
      <c r="C91" s="8">
        <f>(data!C91-AVERAGE(data!C:C))/_xlfn.STDEV.S(data!C:C)</f>
        <v>-0.84462222153298494</v>
      </c>
      <c r="D91" s="2">
        <v>0</v>
      </c>
      <c r="E91" s="2">
        <v>0</v>
      </c>
      <c r="F91" s="2">
        <v>1</v>
      </c>
      <c r="G91" s="2">
        <v>1</v>
      </c>
      <c r="H91" s="2">
        <v>0</v>
      </c>
      <c r="I91" s="2">
        <v>0</v>
      </c>
      <c r="J91" s="8">
        <f>(data!J91-AVERAGE(data!J:J))/_xlfn.STDEV.S(data!J:J)</f>
        <v>0.61976599848936942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0</v>
      </c>
      <c r="R91" s="2">
        <v>0</v>
      </c>
      <c r="S91" s="6" cm="1">
        <f t="array" ref="S91">$Y$2+MMULT(C91:R91,$Y$3:$Y$18)</f>
        <v>-13.557419137330411</v>
      </c>
      <c r="T91" s="7">
        <f t="shared" si="3"/>
        <v>1.2944554776913504E-6</v>
      </c>
      <c r="U91" s="3">
        <f t="shared" si="2"/>
        <v>0</v>
      </c>
    </row>
    <row r="92" spans="1:21">
      <c r="A92" s="2">
        <v>91</v>
      </c>
      <c r="B92" s="2">
        <v>0</v>
      </c>
      <c r="C92" s="8">
        <f>(data!C92-AVERAGE(data!C:C))/_xlfn.STDEV.S(data!C:C)</f>
        <v>-1.2226550110127374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8">
        <f>(data!J92-AVERAGE(data!J:J))/_xlfn.STDEV.S(data!J:J)</f>
        <v>0.10333081995301398</v>
      </c>
      <c r="K92" s="2">
        <v>0</v>
      </c>
      <c r="L92" s="2">
        <v>0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  <c r="R92" s="2">
        <v>0</v>
      </c>
      <c r="S92" s="6" cm="1">
        <f t="array" ref="S92">$Y$2+MMULT(C92:R92,$Y$3:$Y$18)</f>
        <v>-12.040034004476929</v>
      </c>
      <c r="T92" s="7">
        <f t="shared" si="3"/>
        <v>5.9030587596553056E-6</v>
      </c>
      <c r="U92" s="3">
        <f t="shared" si="2"/>
        <v>0</v>
      </c>
    </row>
    <row r="93" spans="1:21">
      <c r="A93" s="2">
        <v>92</v>
      </c>
      <c r="B93" s="2">
        <v>1</v>
      </c>
      <c r="C93" s="8">
        <f>(data!C93-AVERAGE(data!C:C))/_xlfn.STDEV.S(data!C:C)</f>
        <v>1.5915890884476425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8">
        <f>(data!J93-AVERAGE(data!J:J))/_xlfn.STDEV.S(data!J:J)</f>
        <v>1.8001892637153245</v>
      </c>
      <c r="K93" s="2">
        <v>0</v>
      </c>
      <c r="L93" s="2">
        <v>1</v>
      </c>
      <c r="M93" s="2">
        <v>0</v>
      </c>
      <c r="N93" s="2">
        <v>1</v>
      </c>
      <c r="O93" s="2">
        <v>1</v>
      </c>
      <c r="P93" s="2">
        <v>1</v>
      </c>
      <c r="Q93" s="2">
        <v>0</v>
      </c>
      <c r="R93" s="2">
        <v>0</v>
      </c>
      <c r="S93" s="6" cm="1">
        <f t="array" ref="S93">$Y$2+MMULT(C93:R93,$Y$3:$Y$18)</f>
        <v>3.4063594455698833</v>
      </c>
      <c r="T93" s="7">
        <f t="shared" si="3"/>
        <v>0.9679026936102243</v>
      </c>
      <c r="U93" s="3">
        <f t="shared" si="2"/>
        <v>1</v>
      </c>
    </row>
    <row r="94" spans="1:21">
      <c r="A94" s="2">
        <v>93</v>
      </c>
      <c r="B94" s="2">
        <v>1</v>
      </c>
      <c r="C94" s="8">
        <f>(data!C94-AVERAGE(data!C:C))/_xlfn.STDEV.S(data!C:C)</f>
        <v>1.6755963749986986</v>
      </c>
      <c r="D94" s="2">
        <v>1</v>
      </c>
      <c r="E94" s="2">
        <v>1</v>
      </c>
      <c r="F94" s="2">
        <v>1</v>
      </c>
      <c r="G94" s="2">
        <v>1</v>
      </c>
      <c r="H94" s="2">
        <v>0</v>
      </c>
      <c r="I94" s="2">
        <v>0</v>
      </c>
      <c r="J94" s="8">
        <f>(data!J94-AVERAGE(data!J:J))/_xlfn.STDEV.S(data!J:J)</f>
        <v>0.54598954441274716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  <c r="R94" s="2">
        <v>0</v>
      </c>
      <c r="S94" s="6" cm="1">
        <f t="array" ref="S94">$Y$2+MMULT(C94:R94,$Y$3:$Y$18)</f>
        <v>4.452095651827527</v>
      </c>
      <c r="T94" s="7">
        <f t="shared" si="3"/>
        <v>0.98848013547795399</v>
      </c>
      <c r="U94" s="3">
        <f t="shared" si="2"/>
        <v>1</v>
      </c>
    </row>
    <row r="95" spans="1:21">
      <c r="A95" s="2">
        <v>94</v>
      </c>
      <c r="B95" s="2">
        <v>0</v>
      </c>
      <c r="C95" s="8">
        <f>(data!C95-AVERAGE(data!C:C))/_xlfn.STDEV.S(data!C:C)</f>
        <v>-0.42458578877770431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8">
        <f>(data!J95-AVERAGE(data!J:J))/_xlfn.STDEV.S(data!J:J)</f>
        <v>0.76731890664261382</v>
      </c>
      <c r="K95" s="2">
        <v>0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  <c r="S95" s="6" cm="1">
        <f t="array" ref="S95">$Y$2+MMULT(C95:R95,$Y$3:$Y$18)</f>
        <v>-8.581543929008868</v>
      </c>
      <c r="T95" s="7">
        <f t="shared" si="3"/>
        <v>1.8750004985902219E-4</v>
      </c>
      <c r="U95" s="3">
        <f t="shared" si="2"/>
        <v>0</v>
      </c>
    </row>
    <row r="96" spans="1:21">
      <c r="A96" s="2">
        <v>95</v>
      </c>
      <c r="B96" s="2">
        <v>0</v>
      </c>
      <c r="C96" s="8">
        <f>(data!C96-AVERAGE(data!C:C))/_xlfn.STDEV.S(data!C:C)</f>
        <v>-1.1386477244616813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8">
        <f>(data!J96-AVERAGE(data!J:J))/_xlfn.STDEV.S(data!J:J)</f>
        <v>-0.41310435858334144</v>
      </c>
      <c r="K96" s="2">
        <v>0</v>
      </c>
      <c r="L96" s="2">
        <v>1</v>
      </c>
      <c r="M96" s="2">
        <v>0</v>
      </c>
      <c r="N96" s="2">
        <v>1</v>
      </c>
      <c r="O96" s="2">
        <v>1</v>
      </c>
      <c r="P96" s="2">
        <v>1</v>
      </c>
      <c r="Q96" s="2">
        <v>0</v>
      </c>
      <c r="R96" s="2">
        <v>0</v>
      </c>
      <c r="S96" s="6" cm="1">
        <f t="array" ref="S96">$Y$2+MMULT(C96:R96,$Y$3:$Y$18)</f>
        <v>-13.999683478373534</v>
      </c>
      <c r="T96" s="7">
        <f t="shared" si="3"/>
        <v>8.3179126570704508E-7</v>
      </c>
      <c r="U96" s="3">
        <f t="shared" si="2"/>
        <v>0</v>
      </c>
    </row>
    <row r="97" spans="1:21">
      <c r="A97" s="2">
        <v>96</v>
      </c>
      <c r="B97" s="2">
        <v>1</v>
      </c>
      <c r="C97" s="8">
        <f>(data!C97-AVERAGE(data!C:C))/_xlfn.STDEV.S(data!C:C)</f>
        <v>1.6755963749986986</v>
      </c>
      <c r="D97" s="2">
        <v>0</v>
      </c>
      <c r="E97" s="2">
        <v>1</v>
      </c>
      <c r="F97" s="2">
        <v>1</v>
      </c>
      <c r="G97" s="2">
        <v>1</v>
      </c>
      <c r="H97" s="2">
        <v>0</v>
      </c>
      <c r="I97" s="2">
        <v>0</v>
      </c>
      <c r="J97" s="8">
        <f>(data!J97-AVERAGE(data!J:J))/_xlfn.STDEV.S(data!J:J)</f>
        <v>0.54598954441274716</v>
      </c>
      <c r="K97" s="2">
        <v>1</v>
      </c>
      <c r="L97" s="2">
        <v>0</v>
      </c>
      <c r="M97" s="2">
        <v>1</v>
      </c>
      <c r="N97" s="2">
        <v>1</v>
      </c>
      <c r="O97" s="2">
        <v>1</v>
      </c>
      <c r="P97" s="2">
        <v>1</v>
      </c>
      <c r="Q97" s="2">
        <v>0</v>
      </c>
      <c r="R97" s="2">
        <v>0</v>
      </c>
      <c r="S97" s="6" cm="1">
        <f t="array" ref="S97">$Y$2+MMULT(C97:R97,$Y$3:$Y$18)</f>
        <v>4.2729223331725557</v>
      </c>
      <c r="T97" s="7">
        <f t="shared" si="3"/>
        <v>0.98625069545703248</v>
      </c>
      <c r="U97" s="3">
        <f t="shared" si="2"/>
        <v>1</v>
      </c>
    </row>
    <row r="98" spans="1:21">
      <c r="A98" s="2">
        <v>97</v>
      </c>
      <c r="B98" s="2">
        <v>0</v>
      </c>
      <c r="C98" s="8">
        <f>(data!C98-AVERAGE(data!C:C))/_xlfn.STDEV.S(data!C:C)</f>
        <v>0.37348343345732876</v>
      </c>
      <c r="D98" s="2">
        <v>1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8">
        <f>(data!J98-AVERAGE(data!J:J))/_xlfn.STDEV.S(data!J:J)</f>
        <v>1.3575305392555914</v>
      </c>
      <c r="K98" s="2">
        <v>1</v>
      </c>
      <c r="L98" s="2">
        <v>1</v>
      </c>
      <c r="M98" s="2">
        <v>1</v>
      </c>
      <c r="N98" s="2">
        <v>0</v>
      </c>
      <c r="O98" s="2">
        <v>0</v>
      </c>
      <c r="P98" s="2">
        <v>1</v>
      </c>
      <c r="Q98" s="2">
        <v>0</v>
      </c>
      <c r="R98" s="2">
        <v>0</v>
      </c>
      <c r="S98" s="6" cm="1">
        <f t="array" ref="S98">$Y$2+MMULT(C98:R98,$Y$3:$Y$18)</f>
        <v>-3.5638841376707604</v>
      </c>
      <c r="T98" s="7">
        <f t="shared" si="3"/>
        <v>2.7548177922956611E-2</v>
      </c>
      <c r="U98" s="3">
        <f t="shared" si="2"/>
        <v>0</v>
      </c>
    </row>
    <row r="99" spans="1:21">
      <c r="A99" s="2">
        <v>98</v>
      </c>
      <c r="B99" s="2">
        <v>0</v>
      </c>
      <c r="C99" s="8">
        <f>(data!C99-AVERAGE(data!C:C))/_xlfn.STDEV.S(data!C:C)</f>
        <v>-0.34057850222664821</v>
      </c>
      <c r="D99" s="2">
        <v>0</v>
      </c>
      <c r="E99" s="2">
        <v>1</v>
      </c>
      <c r="F99" s="2">
        <v>1</v>
      </c>
      <c r="G99" s="2">
        <v>1</v>
      </c>
      <c r="H99" s="2">
        <v>0</v>
      </c>
      <c r="I99" s="2">
        <v>0</v>
      </c>
      <c r="J99" s="8">
        <f>(data!J99-AVERAGE(data!J:J))/_xlfn.STDEV.S(data!J:J)</f>
        <v>2.9554365876391778E-2</v>
      </c>
      <c r="K99" s="2">
        <v>1</v>
      </c>
      <c r="L99" s="2">
        <v>0</v>
      </c>
      <c r="M99" s="2">
        <v>0</v>
      </c>
      <c r="N99" s="2">
        <v>1</v>
      </c>
      <c r="O99" s="2">
        <v>1</v>
      </c>
      <c r="P99" s="2">
        <v>1</v>
      </c>
      <c r="Q99" s="2">
        <v>1</v>
      </c>
      <c r="R99" s="2">
        <v>0</v>
      </c>
      <c r="S99" s="6" cm="1">
        <f t="array" ref="S99">$Y$2+MMULT(C99:R99,$Y$3:$Y$18)</f>
        <v>-8.5587423706262165</v>
      </c>
      <c r="T99" s="7">
        <f t="shared" si="3"/>
        <v>1.9182362792785097E-4</v>
      </c>
      <c r="U99" s="3">
        <f t="shared" si="2"/>
        <v>0</v>
      </c>
    </row>
    <row r="100" spans="1:21">
      <c r="A100" s="2">
        <v>99</v>
      </c>
      <c r="B100" s="2">
        <v>0</v>
      </c>
      <c r="C100" s="8">
        <f>(data!C100-AVERAGE(data!C:C))/_xlfn.STDEV.S(data!C:C)</f>
        <v>-1.1806513677372095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8">
        <f>(data!J100-AVERAGE(data!J:J))/_xlfn.STDEV.S(data!J:J)</f>
        <v>-0.11799854227685262</v>
      </c>
      <c r="K100" s="2">
        <v>0</v>
      </c>
      <c r="L100" s="2">
        <v>1</v>
      </c>
      <c r="M100" s="2">
        <v>0</v>
      </c>
      <c r="N100" s="2">
        <v>1</v>
      </c>
      <c r="O100" s="2">
        <v>1</v>
      </c>
      <c r="P100" s="2">
        <v>1</v>
      </c>
      <c r="Q100" s="2">
        <v>0</v>
      </c>
      <c r="R100" s="2">
        <v>1</v>
      </c>
      <c r="S100" s="6" cm="1">
        <f t="array" ref="S100">$Y$2+MMULT(C100:R100,$Y$3:$Y$18)</f>
        <v>-14.034806056257315</v>
      </c>
      <c r="T100" s="7">
        <f t="shared" si="3"/>
        <v>8.0308372808242429E-7</v>
      </c>
      <c r="U100" s="3">
        <f t="shared" si="2"/>
        <v>0</v>
      </c>
    </row>
    <row r="101" spans="1:21">
      <c r="A101" s="2">
        <v>100</v>
      </c>
      <c r="B101" s="2">
        <v>0</v>
      </c>
      <c r="C101" s="8">
        <f>(data!C101-AVERAGE(data!C:C))/_xlfn.STDEV.S(data!C:C)</f>
        <v>1.0875453691413057</v>
      </c>
      <c r="D101" s="2">
        <v>0</v>
      </c>
      <c r="E101" s="2">
        <v>1</v>
      </c>
      <c r="F101" s="2">
        <v>0</v>
      </c>
      <c r="G101" s="2">
        <v>1</v>
      </c>
      <c r="H101" s="2">
        <v>0</v>
      </c>
      <c r="I101" s="2">
        <v>0</v>
      </c>
      <c r="J101" s="8">
        <f>(data!J101-AVERAGE(data!J:J))/_xlfn.STDEV.S(data!J:J)</f>
        <v>-0.92953953711969683</v>
      </c>
      <c r="K101" s="2">
        <v>1</v>
      </c>
      <c r="L101" s="2">
        <v>1</v>
      </c>
      <c r="M101" s="2">
        <v>0</v>
      </c>
      <c r="N101" s="2">
        <v>0</v>
      </c>
      <c r="O101" s="2">
        <v>1</v>
      </c>
      <c r="P101" s="2">
        <v>1</v>
      </c>
      <c r="Q101" s="2">
        <v>1</v>
      </c>
      <c r="R101" s="2">
        <v>0</v>
      </c>
      <c r="S101" s="6" cm="1">
        <f t="array" ref="S101">$Y$2+MMULT(C101:R101,$Y$3:$Y$18)</f>
        <v>-0.38822190029948533</v>
      </c>
      <c r="T101" s="7">
        <f t="shared" si="3"/>
        <v>0.40414541518773711</v>
      </c>
      <c r="U101" s="3">
        <f t="shared" si="2"/>
        <v>0</v>
      </c>
    </row>
    <row r="102" spans="1:21">
      <c r="A102" s="2">
        <v>101</v>
      </c>
      <c r="B102" s="2">
        <v>0</v>
      </c>
      <c r="C102" s="8">
        <f>(data!C102-AVERAGE(data!C:C))/_xlfn.STDEV.S(data!C:C)</f>
        <v>1.4655781586210583</v>
      </c>
      <c r="D102" s="2">
        <v>0</v>
      </c>
      <c r="E102" s="2">
        <v>1</v>
      </c>
      <c r="F102" s="2">
        <v>0</v>
      </c>
      <c r="G102" s="2">
        <v>0</v>
      </c>
      <c r="H102" s="2">
        <v>1</v>
      </c>
      <c r="I102" s="2">
        <v>0</v>
      </c>
      <c r="J102" s="8">
        <f>(data!J102-AVERAGE(data!J:J))/_xlfn.STDEV.S(data!J:J)</f>
        <v>2.9068360748646578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6" cm="1">
        <f t="array" ref="S102">$Y$2+MMULT(C102:R102,$Y$3:$Y$18)</f>
        <v>2.663920197887899</v>
      </c>
      <c r="T102" s="7">
        <f t="shared" si="3"/>
        <v>0.93486378842498041</v>
      </c>
      <c r="U102" s="3">
        <f t="shared" si="2"/>
        <v>1</v>
      </c>
    </row>
    <row r="103" spans="1:21">
      <c r="A103" s="2">
        <v>102</v>
      </c>
      <c r="B103" s="2">
        <v>1</v>
      </c>
      <c r="C103" s="8">
        <f>(data!C103-AVERAGE(data!C:C))/_xlfn.STDEV.S(data!C:C)</f>
        <v>1.4655781586210583</v>
      </c>
      <c r="D103" s="2">
        <v>0</v>
      </c>
      <c r="E103" s="2">
        <v>1</v>
      </c>
      <c r="F103" s="2">
        <v>0</v>
      </c>
      <c r="G103" s="2">
        <v>1</v>
      </c>
      <c r="H103" s="2">
        <v>0</v>
      </c>
      <c r="I103" s="2">
        <v>0</v>
      </c>
      <c r="J103" s="8">
        <f>(data!J103-AVERAGE(data!J:J))/_xlfn.STDEV.S(data!J:J)</f>
        <v>-0.70821017488983018</v>
      </c>
      <c r="K103" s="2">
        <v>0</v>
      </c>
      <c r="L103" s="2">
        <v>1</v>
      </c>
      <c r="M103" s="2">
        <v>0</v>
      </c>
      <c r="N103" s="2">
        <v>1</v>
      </c>
      <c r="O103" s="2">
        <v>1</v>
      </c>
      <c r="P103" s="2">
        <v>1</v>
      </c>
      <c r="Q103" s="2">
        <v>0</v>
      </c>
      <c r="R103" s="2">
        <v>0</v>
      </c>
      <c r="S103" s="6" cm="1">
        <f t="array" ref="S103">$Y$2+MMULT(C103:R103,$Y$3:$Y$18)</f>
        <v>0.30562856962291995</v>
      </c>
      <c r="T103" s="7">
        <f t="shared" si="3"/>
        <v>0.57581788752079288</v>
      </c>
      <c r="U103" s="3">
        <f t="shared" si="2"/>
        <v>1</v>
      </c>
    </row>
    <row r="104" spans="1:21">
      <c r="A104" s="2">
        <v>103</v>
      </c>
      <c r="B104" s="2">
        <v>0</v>
      </c>
      <c r="C104" s="8">
        <f>(data!C104-AVERAGE(data!C:C))/_xlfn.STDEV.S(data!C:C)</f>
        <v>-1.4326732273903777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8">
        <f>(data!J104-AVERAGE(data!J:J))/_xlfn.STDEV.S(data!J:J)</f>
        <v>-0.19177499635347484</v>
      </c>
      <c r="K104" s="2">
        <v>0</v>
      </c>
      <c r="L104" s="2">
        <v>1</v>
      </c>
      <c r="M104" s="2">
        <v>0</v>
      </c>
      <c r="N104" s="2">
        <v>1</v>
      </c>
      <c r="O104" s="2">
        <v>1</v>
      </c>
      <c r="P104" s="2">
        <v>1</v>
      </c>
      <c r="Q104" s="2">
        <v>0</v>
      </c>
      <c r="R104" s="2">
        <v>0</v>
      </c>
      <c r="S104" s="6" cm="1">
        <f t="array" ref="S104">$Y$2+MMULT(C104:R104,$Y$3:$Y$18)</f>
        <v>-15.620794506535962</v>
      </c>
      <c r="T104" s="7">
        <f t="shared" si="3"/>
        <v>1.6442773388354293E-7</v>
      </c>
      <c r="U104" s="3">
        <f t="shared" si="2"/>
        <v>0</v>
      </c>
    </row>
    <row r="105" spans="1:21">
      <c r="A105" s="2">
        <v>104</v>
      </c>
      <c r="B105" s="2">
        <v>0</v>
      </c>
      <c r="C105" s="8">
        <f>(data!C105-AVERAGE(data!C:C))/_xlfn.STDEV.S(data!C:C)</f>
        <v>-0.55059671860428849</v>
      </c>
      <c r="D105" s="2">
        <v>1</v>
      </c>
      <c r="E105" s="2">
        <v>0</v>
      </c>
      <c r="F105" s="2">
        <v>1</v>
      </c>
      <c r="G105" s="2">
        <v>1</v>
      </c>
      <c r="H105" s="2">
        <v>0</v>
      </c>
      <c r="I105" s="2">
        <v>0</v>
      </c>
      <c r="J105" s="8">
        <f>(data!J105-AVERAGE(data!J:J))/_xlfn.STDEV.S(data!J:J)</f>
        <v>-1.003315991196319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  <c r="P105" s="2">
        <v>1</v>
      </c>
      <c r="Q105" s="2">
        <v>0</v>
      </c>
      <c r="R105" s="2">
        <v>0</v>
      </c>
      <c r="S105" s="6" cm="1">
        <f t="array" ref="S105">$Y$2+MMULT(C105:R105,$Y$3:$Y$18)</f>
        <v>-10.886358959282983</v>
      </c>
      <c r="T105" s="7">
        <f t="shared" si="3"/>
        <v>1.8711398565301891E-5</v>
      </c>
      <c r="U105" s="3">
        <f t="shared" si="2"/>
        <v>0</v>
      </c>
    </row>
    <row r="106" spans="1:21">
      <c r="A106" s="2">
        <v>105</v>
      </c>
      <c r="B106" s="2">
        <v>0</v>
      </c>
      <c r="C106" s="8">
        <f>(data!C106-AVERAGE(data!C:C))/_xlfn.STDEV.S(data!C:C)</f>
        <v>-0.50859307532876041</v>
      </c>
      <c r="D106" s="2">
        <v>1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8">
        <f>(data!J106-AVERAGE(data!J:J))/_xlfn.STDEV.S(data!J:J)</f>
        <v>1.1362011770257248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1</v>
      </c>
      <c r="Q106" s="2">
        <v>0</v>
      </c>
      <c r="R106" s="2">
        <v>0</v>
      </c>
      <c r="S106" s="6" cm="1">
        <f t="array" ref="S106">$Y$2+MMULT(C106:R106,$Y$3:$Y$18)</f>
        <v>-8.7647458907071432</v>
      </c>
      <c r="T106" s="7">
        <f t="shared" si="3"/>
        <v>1.5611743892208409E-4</v>
      </c>
      <c r="U106" s="3">
        <f t="shared" si="2"/>
        <v>0</v>
      </c>
    </row>
    <row r="107" spans="1:21">
      <c r="A107" s="2">
        <v>106</v>
      </c>
      <c r="B107" s="2">
        <v>1</v>
      </c>
      <c r="C107" s="8">
        <f>(data!C107-AVERAGE(data!C:C))/_xlfn.STDEV.S(data!C:C)</f>
        <v>1.0875453691413057</v>
      </c>
      <c r="D107" s="2">
        <v>1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8">
        <f>(data!J107-AVERAGE(data!J:J))/_xlfn.STDEV.S(data!J:J)</f>
        <v>0.76731890664261382</v>
      </c>
      <c r="K107" s="2">
        <v>1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0</v>
      </c>
      <c r="S107" s="6" cm="1">
        <f t="array" ref="S107">$Y$2+MMULT(C107:R107,$Y$3:$Y$18)</f>
        <v>3.4063554169724597</v>
      </c>
      <c r="T107" s="7">
        <f t="shared" si="3"/>
        <v>0.96790256845327294</v>
      </c>
      <c r="U107" s="3">
        <f t="shared" si="2"/>
        <v>1</v>
      </c>
    </row>
    <row r="108" spans="1:21">
      <c r="A108" s="2">
        <v>107</v>
      </c>
      <c r="B108" s="2">
        <v>0</v>
      </c>
      <c r="C108" s="8">
        <f>(data!C108-AVERAGE(data!C:C))/_xlfn.STDEV.S(data!C:C)</f>
        <v>1.6755963749986986</v>
      </c>
      <c r="D108" s="2">
        <v>0</v>
      </c>
      <c r="E108" s="2">
        <v>0</v>
      </c>
      <c r="F108" s="2">
        <v>1</v>
      </c>
      <c r="G108" s="2">
        <v>1</v>
      </c>
      <c r="H108" s="2">
        <v>0</v>
      </c>
      <c r="I108" s="2">
        <v>0</v>
      </c>
      <c r="J108" s="8">
        <f>(data!J108-AVERAGE(data!J:J))/_xlfn.STDEV.S(data!J:J)</f>
        <v>0.76731890664261382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6" cm="1">
        <f t="array" ref="S108">$Y$2+MMULT(C108:R108,$Y$3:$Y$18)</f>
        <v>4.5074428195666982</v>
      </c>
      <c r="T108" s="7">
        <f t="shared" si="3"/>
        <v>0.98909363909645998</v>
      </c>
      <c r="U108" s="3">
        <f t="shared" si="2"/>
        <v>1</v>
      </c>
    </row>
    <row r="109" spans="1:21">
      <c r="A109" s="2">
        <v>108</v>
      </c>
      <c r="B109" s="2">
        <v>0</v>
      </c>
      <c r="C109" s="8">
        <f>(data!C109-AVERAGE(data!C:C))/_xlfn.STDEV.S(data!C:C)</f>
        <v>0.45749072000838492</v>
      </c>
      <c r="D109" s="2">
        <v>1</v>
      </c>
      <c r="E109" s="2">
        <v>0</v>
      </c>
      <c r="F109" s="2">
        <v>1</v>
      </c>
      <c r="G109" s="2">
        <v>1</v>
      </c>
      <c r="H109" s="2">
        <v>0</v>
      </c>
      <c r="I109" s="2">
        <v>0</v>
      </c>
      <c r="J109" s="8">
        <f>(data!J109-AVERAGE(data!J:J))/_xlfn.STDEV.S(data!J:J)</f>
        <v>1.3575305392555914</v>
      </c>
      <c r="K109" s="2">
        <v>0</v>
      </c>
      <c r="L109" s="2">
        <v>0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6" cm="1">
        <f t="array" ref="S109">$Y$2+MMULT(C109:R109,$Y$3:$Y$18)</f>
        <v>-2.4430366578888747</v>
      </c>
      <c r="T109" s="7">
        <f t="shared" si="3"/>
        <v>7.994925848141067E-2</v>
      </c>
      <c r="U109" s="3">
        <f t="shared" si="2"/>
        <v>0</v>
      </c>
    </row>
    <row r="110" spans="1:21">
      <c r="A110" s="2">
        <v>109</v>
      </c>
      <c r="B110" s="2">
        <v>0</v>
      </c>
      <c r="C110" s="8">
        <f>(data!C110-AVERAGE(data!C:C))/_xlfn.STDEV.S(data!C:C)</f>
        <v>0.5835016498349691</v>
      </c>
      <c r="D110" s="2">
        <v>0</v>
      </c>
      <c r="E110" s="2">
        <v>0</v>
      </c>
      <c r="F110" s="2">
        <v>1</v>
      </c>
      <c r="G110" s="2">
        <v>0</v>
      </c>
      <c r="H110" s="2">
        <v>0</v>
      </c>
      <c r="I110" s="2">
        <v>0</v>
      </c>
      <c r="J110" s="8">
        <f>(data!J110-AVERAGE(data!J:J))/_xlfn.STDEV.S(data!J:J)</f>
        <v>2.9554365876391778E-2</v>
      </c>
      <c r="K110" s="2">
        <v>0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6" cm="1">
        <f t="array" ref="S110">$Y$2+MMULT(C110:R110,$Y$3:$Y$18)</f>
        <v>-3.6234506252554626</v>
      </c>
      <c r="T110" s="7">
        <f t="shared" si="3"/>
        <v>2.5996559712169322E-2</v>
      </c>
      <c r="U110" s="3">
        <f t="shared" si="2"/>
        <v>0</v>
      </c>
    </row>
    <row r="111" spans="1:21">
      <c r="A111" s="2">
        <v>110</v>
      </c>
      <c r="B111" s="2">
        <v>0</v>
      </c>
      <c r="C111" s="8">
        <f>(data!C111-AVERAGE(data!C:C))/_xlfn.STDEV.S(data!C:C)</f>
        <v>-0.50859307532876041</v>
      </c>
      <c r="D111" s="2">
        <v>0</v>
      </c>
      <c r="E111" s="2">
        <v>0</v>
      </c>
      <c r="F111" s="2">
        <v>1</v>
      </c>
      <c r="G111" s="2">
        <v>1</v>
      </c>
      <c r="H111" s="2">
        <v>0</v>
      </c>
      <c r="I111" s="2">
        <v>0</v>
      </c>
      <c r="J111" s="8">
        <f>(data!J111-AVERAGE(data!J:J))/_xlfn.STDEV.S(data!J:J)</f>
        <v>-0.85576308304307458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1</v>
      </c>
      <c r="Q111" s="2">
        <v>0</v>
      </c>
      <c r="R111" s="2">
        <v>0</v>
      </c>
      <c r="S111" s="6" cm="1">
        <f t="array" ref="S111">$Y$2+MMULT(C111:R111,$Y$3:$Y$18)</f>
        <v>-10.727661726560349</v>
      </c>
      <c r="T111" s="7">
        <f t="shared" si="3"/>
        <v>2.1929371481219849E-5</v>
      </c>
      <c r="U111" s="3">
        <f t="shared" si="2"/>
        <v>0</v>
      </c>
    </row>
    <row r="112" spans="1:21">
      <c r="A112" s="2">
        <v>111</v>
      </c>
      <c r="B112" s="2">
        <v>1</v>
      </c>
      <c r="C112" s="8">
        <f>(data!C112-AVERAGE(data!C:C))/_xlfn.STDEV.S(data!C:C)</f>
        <v>1.0035380825902496</v>
      </c>
      <c r="D112" s="2">
        <v>1</v>
      </c>
      <c r="E112" s="2">
        <v>1</v>
      </c>
      <c r="F112" s="2">
        <v>1</v>
      </c>
      <c r="G112" s="2">
        <v>1</v>
      </c>
      <c r="H112" s="2">
        <v>0</v>
      </c>
      <c r="I112" s="2">
        <v>0</v>
      </c>
      <c r="J112" s="8">
        <f>(data!J112-AVERAGE(data!J:J))/_xlfn.STDEV.S(data!J:J)</f>
        <v>1.7264128096387024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0</v>
      </c>
      <c r="R112" s="2">
        <v>1</v>
      </c>
      <c r="S112" s="6" cm="1">
        <f t="array" ref="S112">$Y$2+MMULT(C112:R112,$Y$3:$Y$18)</f>
        <v>0.52973502024779151</v>
      </c>
      <c r="T112" s="7">
        <f t="shared" si="3"/>
        <v>0.62942130752691272</v>
      </c>
      <c r="U112" s="3">
        <f t="shared" si="2"/>
        <v>1</v>
      </c>
    </row>
    <row r="113" spans="1:21">
      <c r="A113" s="2">
        <v>112</v>
      </c>
      <c r="B113" s="2">
        <v>0</v>
      </c>
      <c r="C113" s="8">
        <f>(data!C113-AVERAGE(data!C:C))/_xlfn.STDEV.S(data!C:C)</f>
        <v>-0.21456757240006402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8">
        <f>(data!J113-AVERAGE(data!J:J))/_xlfn.STDEV.S(data!J:J)</f>
        <v>-1.2984218075028078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0</v>
      </c>
      <c r="R113" s="2">
        <v>0</v>
      </c>
      <c r="S113" s="6" cm="1">
        <f t="array" ref="S113">$Y$2+MMULT(C113:R113,$Y$3:$Y$18)</f>
        <v>-9.4210693412058983</v>
      </c>
      <c r="T113" s="7">
        <f t="shared" si="3"/>
        <v>8.0992796667058603E-5</v>
      </c>
      <c r="U113" s="3">
        <f t="shared" si="2"/>
        <v>0</v>
      </c>
    </row>
    <row r="114" spans="1:21">
      <c r="A114" s="2">
        <v>113</v>
      </c>
      <c r="B114" s="2">
        <v>0</v>
      </c>
      <c r="C114" s="8">
        <f>(data!C114-AVERAGE(data!C:C))/_xlfn.STDEV.S(data!C:C)</f>
        <v>0.12146157380416044</v>
      </c>
      <c r="D114" s="2">
        <v>0</v>
      </c>
      <c r="E114" s="2">
        <v>1</v>
      </c>
      <c r="F114" s="2">
        <v>0</v>
      </c>
      <c r="G114" s="2">
        <v>0</v>
      </c>
      <c r="H114" s="2">
        <v>1</v>
      </c>
      <c r="I114" s="2">
        <v>0</v>
      </c>
      <c r="J114" s="8">
        <f>(data!J114-AVERAGE(data!J:J))/_xlfn.STDEV.S(data!J:J)</f>
        <v>-1.2246453534261856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1</v>
      </c>
      <c r="Q114" s="2">
        <v>0</v>
      </c>
      <c r="R114" s="2">
        <v>0</v>
      </c>
      <c r="S114" s="6" cm="1">
        <f t="array" ref="S114">$Y$2+MMULT(C114:R114,$Y$3:$Y$18)</f>
        <v>-7.7978278784397688</v>
      </c>
      <c r="T114" s="7">
        <f t="shared" si="3"/>
        <v>4.104573959953688E-4</v>
      </c>
      <c r="U114" s="3">
        <f t="shared" si="2"/>
        <v>0</v>
      </c>
    </row>
    <row r="115" spans="1:21">
      <c r="A115" s="2">
        <v>114</v>
      </c>
      <c r="B115" s="2">
        <v>0</v>
      </c>
      <c r="C115" s="8">
        <f>(data!C115-AVERAGE(data!C:C))/_xlfn.STDEV.S(data!C:C)</f>
        <v>-1.0966440811861533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8">
        <f>(data!J115-AVERAGE(data!J:J))/_xlfn.STDEV.S(data!J:J)</f>
        <v>-1.0770924452729411</v>
      </c>
      <c r="K115" s="2">
        <v>0</v>
      </c>
      <c r="L115" s="2">
        <v>1</v>
      </c>
      <c r="M115" s="2">
        <v>0</v>
      </c>
      <c r="N115" s="2">
        <v>1</v>
      </c>
      <c r="O115" s="2">
        <v>1</v>
      </c>
      <c r="P115" s="2">
        <v>1</v>
      </c>
      <c r="Q115" s="2">
        <v>0</v>
      </c>
      <c r="R115" s="2">
        <v>0</v>
      </c>
      <c r="S115" s="6" cm="1">
        <f t="array" ref="S115">$Y$2+MMULT(C115:R115,$Y$3:$Y$18)</f>
        <v>-14.143213582659978</v>
      </c>
      <c r="T115" s="7">
        <f t="shared" si="3"/>
        <v>7.2057646227058191E-7</v>
      </c>
      <c r="U115" s="3">
        <f t="shared" si="2"/>
        <v>0</v>
      </c>
    </row>
    <row r="116" spans="1:21">
      <c r="A116" s="2">
        <v>115</v>
      </c>
      <c r="B116" s="2">
        <v>0</v>
      </c>
      <c r="C116" s="8">
        <f>(data!C116-AVERAGE(data!C:C))/_xlfn.STDEV.S(data!C:C)</f>
        <v>-0.59260036187981657</v>
      </c>
      <c r="D116" s="2">
        <v>1</v>
      </c>
      <c r="E116" s="2">
        <v>1</v>
      </c>
      <c r="F116" s="2">
        <v>0</v>
      </c>
      <c r="G116" s="2">
        <v>1</v>
      </c>
      <c r="H116" s="2">
        <v>0</v>
      </c>
      <c r="I116" s="2">
        <v>0</v>
      </c>
      <c r="J116" s="8">
        <f>(data!J116-AVERAGE(data!J:J))/_xlfn.STDEV.S(data!J:J)</f>
        <v>2.5379538044815466</v>
      </c>
      <c r="K116" s="2">
        <v>1</v>
      </c>
      <c r="L116" s="2">
        <v>0</v>
      </c>
      <c r="M116" s="2">
        <v>0</v>
      </c>
      <c r="N116" s="2">
        <v>1</v>
      </c>
      <c r="O116" s="2">
        <v>0</v>
      </c>
      <c r="P116" s="2">
        <v>1</v>
      </c>
      <c r="Q116" s="2">
        <v>0</v>
      </c>
      <c r="R116" s="2">
        <v>0</v>
      </c>
      <c r="S116" s="6" cm="1">
        <f t="array" ref="S116">$Y$2+MMULT(C116:R116,$Y$3:$Y$18)</f>
        <v>-10.481713402551653</v>
      </c>
      <c r="T116" s="7">
        <f t="shared" si="3"/>
        <v>2.8043843117578688E-5</v>
      </c>
      <c r="U116" s="3">
        <f t="shared" si="2"/>
        <v>0</v>
      </c>
    </row>
    <row r="117" spans="1:21">
      <c r="A117" s="2">
        <v>116</v>
      </c>
      <c r="B117" s="2">
        <v>0</v>
      </c>
      <c r="C117" s="8">
        <f>(data!C117-AVERAGE(data!C:C))/_xlfn.STDEV.S(data!C:C)</f>
        <v>0.5835016498349691</v>
      </c>
      <c r="D117" s="2">
        <v>1</v>
      </c>
      <c r="E117" s="2">
        <v>0</v>
      </c>
      <c r="F117" s="2">
        <v>0</v>
      </c>
      <c r="G117" s="2">
        <v>1</v>
      </c>
      <c r="H117" s="2">
        <v>0</v>
      </c>
      <c r="I117" s="2">
        <v>0</v>
      </c>
      <c r="J117" s="8">
        <f>(data!J117-AVERAGE(data!J:J))/_xlfn.STDEV.S(data!J:J)</f>
        <v>0.47221309033612496</v>
      </c>
      <c r="K117" s="2">
        <v>0</v>
      </c>
      <c r="L117" s="2">
        <v>0</v>
      </c>
      <c r="M117" s="2">
        <v>1</v>
      </c>
      <c r="N117" s="2">
        <v>0</v>
      </c>
      <c r="O117" s="2">
        <v>1</v>
      </c>
      <c r="P117" s="2">
        <v>1</v>
      </c>
      <c r="Q117" s="2">
        <v>0</v>
      </c>
      <c r="R117" s="2">
        <v>0</v>
      </c>
      <c r="S117" s="6" cm="1">
        <f t="array" ref="S117">$Y$2+MMULT(C117:R117,$Y$3:$Y$18)</f>
        <v>-1.1529621017878271</v>
      </c>
      <c r="T117" s="7">
        <f t="shared" si="3"/>
        <v>0.23994845903391962</v>
      </c>
      <c r="U117" s="3">
        <f t="shared" si="2"/>
        <v>0</v>
      </c>
    </row>
    <row r="118" spans="1:21">
      <c r="A118" s="2">
        <v>117</v>
      </c>
      <c r="B118" s="2">
        <v>0</v>
      </c>
      <c r="C118" s="8">
        <f>(data!C118-AVERAGE(data!C:C))/_xlfn.STDEV.S(data!C:C)</f>
        <v>1.0875453691413057</v>
      </c>
      <c r="D118" s="2">
        <v>1</v>
      </c>
      <c r="E118" s="2">
        <v>1</v>
      </c>
      <c r="F118" s="2">
        <v>1</v>
      </c>
      <c r="G118" s="2">
        <v>1</v>
      </c>
      <c r="H118" s="2">
        <v>0</v>
      </c>
      <c r="I118" s="2">
        <v>0</v>
      </c>
      <c r="J118" s="8">
        <f>(data!J118-AVERAGE(data!J:J))/_xlfn.STDEV.S(data!J:J)</f>
        <v>1.1362011770257248</v>
      </c>
      <c r="K118" s="2">
        <v>1</v>
      </c>
      <c r="L118" s="2">
        <v>0</v>
      </c>
      <c r="M118" s="2">
        <v>1</v>
      </c>
      <c r="N118" s="2">
        <v>1</v>
      </c>
      <c r="O118" s="2">
        <v>0</v>
      </c>
      <c r="P118" s="2">
        <v>1</v>
      </c>
      <c r="Q118" s="2">
        <v>0</v>
      </c>
      <c r="R118" s="2">
        <v>0</v>
      </c>
      <c r="S118" s="6" cm="1">
        <f t="array" ref="S118">$Y$2+MMULT(C118:R118,$Y$3:$Y$18)</f>
        <v>-0.40488506720815964</v>
      </c>
      <c r="T118" s="7">
        <f t="shared" si="3"/>
        <v>0.40013921788730472</v>
      </c>
      <c r="U118" s="3">
        <f t="shared" si="2"/>
        <v>0</v>
      </c>
    </row>
    <row r="119" spans="1:21">
      <c r="A119" s="2">
        <v>118</v>
      </c>
      <c r="B119" s="2">
        <v>0</v>
      </c>
      <c r="C119" s="8">
        <f>(data!C119-AVERAGE(data!C:C))/_xlfn.STDEV.S(data!C:C)</f>
        <v>-0.88662586480851291</v>
      </c>
      <c r="D119" s="2">
        <v>1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8">
        <f>(data!J119-AVERAGE(data!J:J))/_xlfn.STDEV.S(data!J:J)</f>
        <v>1.947742171868569</v>
      </c>
      <c r="K119" s="2">
        <v>0</v>
      </c>
      <c r="L119" s="2">
        <v>0</v>
      </c>
      <c r="M119" s="2">
        <v>1</v>
      </c>
      <c r="N119" s="2">
        <v>1</v>
      </c>
      <c r="O119" s="2">
        <v>1</v>
      </c>
      <c r="P119" s="2">
        <v>1</v>
      </c>
      <c r="Q119" s="2">
        <v>0</v>
      </c>
      <c r="R119" s="2">
        <v>1</v>
      </c>
      <c r="S119" s="6" cm="1">
        <f t="array" ref="S119">$Y$2+MMULT(C119:R119,$Y$3:$Y$18)</f>
        <v>-11.40173906369753</v>
      </c>
      <c r="T119" s="7">
        <f t="shared" si="3"/>
        <v>1.1175907198708336E-5</v>
      </c>
      <c r="U119" s="3">
        <f t="shared" si="2"/>
        <v>0</v>
      </c>
    </row>
    <row r="120" spans="1:21">
      <c r="A120" s="2">
        <v>119</v>
      </c>
      <c r="B120" s="2">
        <v>1</v>
      </c>
      <c r="C120" s="8">
        <f>(data!C120-AVERAGE(data!C:C))/_xlfn.STDEV.S(data!C:C)</f>
        <v>1.6755963749986986</v>
      </c>
      <c r="D120" s="2">
        <v>0</v>
      </c>
      <c r="E120" s="2">
        <v>1</v>
      </c>
      <c r="F120" s="2">
        <v>1</v>
      </c>
      <c r="G120" s="2">
        <v>1</v>
      </c>
      <c r="H120" s="2">
        <v>0</v>
      </c>
      <c r="I120" s="2">
        <v>0</v>
      </c>
      <c r="J120" s="8">
        <f>(data!J120-AVERAGE(data!J:J))/_xlfn.STDEV.S(data!J:J)</f>
        <v>2.0215186259451912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0</v>
      </c>
      <c r="R120" s="2">
        <v>0</v>
      </c>
      <c r="S120" s="6" cm="1">
        <f t="array" ref="S120">$Y$2+MMULT(C120:R120,$Y$3:$Y$18)</f>
        <v>4.3117679201575978</v>
      </c>
      <c r="T120" s="7">
        <f t="shared" si="3"/>
        <v>0.98676762268068441</v>
      </c>
      <c r="U120" s="3">
        <f t="shared" si="2"/>
        <v>1</v>
      </c>
    </row>
    <row r="121" spans="1:21">
      <c r="A121" s="2">
        <v>120</v>
      </c>
      <c r="B121" s="2">
        <v>0</v>
      </c>
      <c r="C121" s="8">
        <f>(data!C121-AVERAGE(data!C:C))/_xlfn.STDEV.S(data!C:C)</f>
        <v>0.20546886035521655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8">
        <f>(data!J121-AVERAGE(data!J:J))/_xlfn.STDEV.S(data!J:J)</f>
        <v>-0.33932790450671924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0</v>
      </c>
      <c r="S121" s="6" cm="1">
        <f t="array" ref="S121">$Y$2+MMULT(C121:R121,$Y$3:$Y$18)</f>
        <v>-3.9149220389753077</v>
      </c>
      <c r="T121" s="7">
        <f t="shared" si="3"/>
        <v>1.9552191469978806E-2</v>
      </c>
      <c r="U121" s="3">
        <f t="shared" si="2"/>
        <v>0</v>
      </c>
    </row>
    <row r="122" spans="1:21">
      <c r="A122" s="2">
        <v>121</v>
      </c>
      <c r="B122" s="2">
        <v>1</v>
      </c>
      <c r="C122" s="8">
        <f>(data!C122-AVERAGE(data!C:C))/_xlfn.STDEV.S(data!C:C)</f>
        <v>1.0035380825902496</v>
      </c>
      <c r="D122" s="2">
        <v>1</v>
      </c>
      <c r="E122" s="2">
        <v>1</v>
      </c>
      <c r="F122" s="2">
        <v>0</v>
      </c>
      <c r="G122" s="2">
        <v>1</v>
      </c>
      <c r="H122" s="2">
        <v>0</v>
      </c>
      <c r="I122" s="2">
        <v>0</v>
      </c>
      <c r="J122" s="8">
        <f>(data!J122-AVERAGE(data!J:J))/_xlfn.STDEV.S(data!J:J)</f>
        <v>0.47221309033612496</v>
      </c>
      <c r="K122" s="2">
        <v>1</v>
      </c>
      <c r="L122" s="2">
        <v>0</v>
      </c>
      <c r="M122" s="2">
        <v>1</v>
      </c>
      <c r="N122" s="2">
        <v>1</v>
      </c>
      <c r="O122" s="2">
        <v>1</v>
      </c>
      <c r="P122" s="2">
        <v>1</v>
      </c>
      <c r="Q122" s="2">
        <v>0</v>
      </c>
      <c r="R122" s="2">
        <v>0</v>
      </c>
      <c r="S122" s="6" cm="1">
        <f t="array" ref="S122">$Y$2+MMULT(C122:R122,$Y$3:$Y$18)</f>
        <v>1.0049641308619286</v>
      </c>
      <c r="T122" s="7">
        <f t="shared" si="3"/>
        <v>0.73203346579318285</v>
      </c>
      <c r="U122" s="3">
        <f t="shared" si="2"/>
        <v>1</v>
      </c>
    </row>
    <row r="123" spans="1:21">
      <c r="A123" s="2">
        <v>122</v>
      </c>
      <c r="B123" s="2">
        <v>1</v>
      </c>
      <c r="C123" s="8">
        <f>(data!C123-AVERAGE(data!C:C))/_xlfn.STDEV.S(data!C:C)</f>
        <v>1.6755963749986986</v>
      </c>
      <c r="D123" s="2">
        <v>1</v>
      </c>
      <c r="E123" s="2">
        <v>1</v>
      </c>
      <c r="F123" s="2">
        <v>1</v>
      </c>
      <c r="G123" s="2">
        <v>1</v>
      </c>
      <c r="H123" s="2">
        <v>0</v>
      </c>
      <c r="I123" s="2">
        <v>0</v>
      </c>
      <c r="J123" s="8">
        <f>(data!J123-AVERAGE(data!J:J))/_xlfn.STDEV.S(data!J:J)</f>
        <v>-0.48688081265996364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6" cm="1">
        <f t="array" ref="S123">$Y$2+MMULT(C123:R123,$Y$3:$Y$18)</f>
        <v>3.9908633041339527</v>
      </c>
      <c r="T123" s="7">
        <f t="shared" si="3"/>
        <v>0.9818516985375304</v>
      </c>
      <c r="U123" s="3">
        <f t="shared" si="2"/>
        <v>1</v>
      </c>
    </row>
    <row r="124" spans="1:21">
      <c r="A124" s="2">
        <v>123</v>
      </c>
      <c r="B124" s="2">
        <v>1</v>
      </c>
      <c r="C124" s="8">
        <f>(data!C124-AVERAGE(data!C:C))/_xlfn.STDEV.S(data!C:C)</f>
        <v>0.91953079603919352</v>
      </c>
      <c r="D124" s="2">
        <v>1</v>
      </c>
      <c r="E124" s="2">
        <v>1</v>
      </c>
      <c r="F124" s="2">
        <v>1</v>
      </c>
      <c r="G124" s="2">
        <v>1</v>
      </c>
      <c r="H124" s="2">
        <v>0</v>
      </c>
      <c r="I124" s="2">
        <v>0</v>
      </c>
      <c r="J124" s="8">
        <f>(data!J124-AVERAGE(data!J:J))/_xlfn.STDEV.S(data!J:J)</f>
        <v>0.25088372810625836</v>
      </c>
      <c r="K124" s="2">
        <v>1</v>
      </c>
      <c r="L124" s="2">
        <v>0</v>
      </c>
      <c r="M124" s="2">
        <v>0</v>
      </c>
      <c r="N124" s="2">
        <v>0</v>
      </c>
      <c r="O124" s="2">
        <v>1</v>
      </c>
      <c r="P124" s="2">
        <v>1</v>
      </c>
      <c r="Q124" s="2">
        <v>0</v>
      </c>
      <c r="R124" s="2">
        <v>0</v>
      </c>
      <c r="S124" s="6" cm="1">
        <f t="array" ref="S124">$Y$2+MMULT(C124:R124,$Y$3:$Y$18)</f>
        <v>-1.2637842057896109</v>
      </c>
      <c r="T124" s="7">
        <f t="shared" si="3"/>
        <v>0.22032315015711793</v>
      </c>
      <c r="U124" s="3">
        <f t="shared" si="2"/>
        <v>0</v>
      </c>
    </row>
    <row r="125" spans="1:21">
      <c r="A125" s="2">
        <v>124</v>
      </c>
      <c r="B125" s="2">
        <v>0</v>
      </c>
      <c r="C125" s="8">
        <f>(data!C125-AVERAGE(data!C:C))/_xlfn.STDEV.S(data!C:C)</f>
        <v>-0.50859307532876041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8">
        <f>(data!J125-AVERAGE(data!J:J))/_xlfn.STDEV.S(data!J:J)</f>
        <v>-0.41310435858334144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6" cm="1">
        <f t="array" ref="S125">$Y$2+MMULT(C125:R125,$Y$3:$Y$18)</f>
        <v>-8.8311370376622662</v>
      </c>
      <c r="T125" s="7">
        <f t="shared" si="3"/>
        <v>1.4609066453873714E-4</v>
      </c>
      <c r="U125" s="3">
        <f t="shared" si="2"/>
        <v>0</v>
      </c>
    </row>
    <row r="126" spans="1:21">
      <c r="A126" s="2">
        <v>125</v>
      </c>
      <c r="B126" s="2">
        <v>1</v>
      </c>
      <c r="C126" s="8">
        <f>(data!C126-AVERAGE(data!C:C))/_xlfn.STDEV.S(data!C:C)</f>
        <v>1.5915890884476425</v>
      </c>
      <c r="D126" s="2">
        <v>1</v>
      </c>
      <c r="E126" s="2">
        <v>1</v>
      </c>
      <c r="F126" s="2">
        <v>0</v>
      </c>
      <c r="G126" s="2">
        <v>0</v>
      </c>
      <c r="H126" s="2">
        <v>1</v>
      </c>
      <c r="I126" s="2">
        <v>0</v>
      </c>
      <c r="J126" s="8">
        <f>(data!J126-AVERAGE(data!J:J))/_xlfn.STDEV.S(data!J:J)</f>
        <v>0.54598954441274716</v>
      </c>
      <c r="K126" s="2">
        <v>0</v>
      </c>
      <c r="L126" s="2">
        <v>0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0</v>
      </c>
      <c r="S126" s="6" cm="1">
        <f t="array" ref="S126">$Y$2+MMULT(C126:R126,$Y$3:$Y$18)</f>
        <v>2.1936847238362418</v>
      </c>
      <c r="T126" s="7">
        <f t="shared" si="3"/>
        <v>0.89968096177872026</v>
      </c>
      <c r="U126" s="3">
        <f t="shared" si="2"/>
        <v>1</v>
      </c>
    </row>
    <row r="127" spans="1:21">
      <c r="A127" s="2">
        <v>126</v>
      </c>
      <c r="B127" s="2">
        <v>0</v>
      </c>
      <c r="C127" s="8">
        <f>(data!C127-AVERAGE(data!C:C))/_xlfn.STDEV.S(data!C:C)</f>
        <v>0.33147979018180074</v>
      </c>
      <c r="D127" s="2">
        <v>1</v>
      </c>
      <c r="E127" s="2">
        <v>0</v>
      </c>
      <c r="F127" s="2">
        <v>1</v>
      </c>
      <c r="G127" s="2">
        <v>1</v>
      </c>
      <c r="H127" s="2">
        <v>0</v>
      </c>
      <c r="I127" s="2">
        <v>0</v>
      </c>
      <c r="J127" s="8">
        <f>(data!J127-AVERAGE(data!J:J))/_xlfn.STDEV.S(data!J:J)</f>
        <v>1.3575305392555914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1</v>
      </c>
      <c r="Q127" s="2">
        <v>0</v>
      </c>
      <c r="R127" s="2">
        <v>1</v>
      </c>
      <c r="S127" s="6" cm="1">
        <f t="array" ref="S127">$Y$2+MMULT(C127:R127,$Y$3:$Y$18)</f>
        <v>-4.0093752237158373</v>
      </c>
      <c r="T127" s="7">
        <f t="shared" si="3"/>
        <v>1.7821364282837145E-2</v>
      </c>
      <c r="U127" s="3">
        <f t="shared" si="2"/>
        <v>0</v>
      </c>
    </row>
    <row r="128" spans="1:21">
      <c r="A128" s="2">
        <v>127</v>
      </c>
      <c r="B128" s="2">
        <v>0</v>
      </c>
      <c r="C128" s="8">
        <f>(data!C128-AVERAGE(data!C:C))/_xlfn.STDEV.S(data!C:C)</f>
        <v>-0.21456757240006402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8">
        <f>(data!J128-AVERAGE(data!J:J))/_xlfn.STDEV.S(data!J:J)</f>
        <v>1.2837540851789693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  <c r="S128" s="6" cm="1">
        <f t="array" ref="S128">$Y$2+MMULT(C128:R128,$Y$3:$Y$18)</f>
        <v>-6.1870539276250849</v>
      </c>
      <c r="T128" s="7">
        <f t="shared" si="3"/>
        <v>2.0516566467847523E-3</v>
      </c>
      <c r="U128" s="3">
        <f t="shared" si="2"/>
        <v>0</v>
      </c>
    </row>
    <row r="129" spans="1:21">
      <c r="A129" s="2">
        <v>128</v>
      </c>
      <c r="B129" s="2">
        <v>1</v>
      </c>
      <c r="C129" s="8">
        <f>(data!C129-AVERAGE(data!C:C))/_xlfn.STDEV.S(data!C:C)</f>
        <v>1.6755963749986986</v>
      </c>
      <c r="D129" s="2">
        <v>0</v>
      </c>
      <c r="E129" s="2">
        <v>0</v>
      </c>
      <c r="F129" s="2">
        <v>1</v>
      </c>
      <c r="G129" s="2">
        <v>1</v>
      </c>
      <c r="H129" s="2">
        <v>0</v>
      </c>
      <c r="I129" s="2">
        <v>0</v>
      </c>
      <c r="J129" s="8">
        <f>(data!J129-AVERAGE(data!J:J))/_xlfn.STDEV.S(data!J:J)</f>
        <v>-0.63443372081320804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1</v>
      </c>
      <c r="Q129" s="2">
        <v>0</v>
      </c>
      <c r="R129" s="2">
        <v>0</v>
      </c>
      <c r="S129" s="6" cm="1">
        <f t="array" ref="S129">$Y$2+MMULT(C129:R129,$Y$3:$Y$18)</f>
        <v>2.4214736521597224</v>
      </c>
      <c r="T129" s="7">
        <f t="shared" si="3"/>
        <v>0.91845018834492664</v>
      </c>
      <c r="U129" s="3">
        <f t="shared" si="2"/>
        <v>1</v>
      </c>
    </row>
    <row r="130" spans="1:21">
      <c r="A130" s="2">
        <v>129</v>
      </c>
      <c r="B130" s="2">
        <v>1</v>
      </c>
      <c r="C130" s="8">
        <f>(data!C130-AVERAGE(data!C:C))/_xlfn.STDEV.S(data!C:C)</f>
        <v>1.6755963749986986</v>
      </c>
      <c r="D130" s="2">
        <v>1</v>
      </c>
      <c r="E130" s="2">
        <v>0</v>
      </c>
      <c r="F130" s="2">
        <v>1</v>
      </c>
      <c r="G130" s="2">
        <v>1</v>
      </c>
      <c r="H130" s="2">
        <v>0</v>
      </c>
      <c r="I130" s="2">
        <v>0</v>
      </c>
      <c r="J130" s="8">
        <f>(data!J130-AVERAGE(data!J:J))/_xlfn.STDEV.S(data!J:J)</f>
        <v>-1.0770924452729411</v>
      </c>
      <c r="K130" s="2">
        <v>1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  <c r="S130" s="6" cm="1">
        <f t="array" ref="S130">$Y$2+MMULT(C130:R130,$Y$3:$Y$18)</f>
        <v>2.5786194162534493</v>
      </c>
      <c r="T130" s="7">
        <f t="shared" si="3"/>
        <v>0.92947282121155095</v>
      </c>
      <c r="U130" s="3">
        <f t="shared" ref="U130:U193" si="4">IF(T130&gt;=cut,1,0)</f>
        <v>1</v>
      </c>
    </row>
    <row r="131" spans="1:21">
      <c r="A131" s="2">
        <v>130</v>
      </c>
      <c r="B131" s="2">
        <v>0</v>
      </c>
      <c r="C131" s="8">
        <f>(data!C131-AVERAGE(data!C:C))/_xlfn.STDEV.S(data!C:C)</f>
        <v>0.24747250363074461</v>
      </c>
      <c r="D131" s="2">
        <v>0</v>
      </c>
      <c r="E131" s="2">
        <v>1</v>
      </c>
      <c r="F131" s="2">
        <v>0</v>
      </c>
      <c r="G131" s="2">
        <v>1</v>
      </c>
      <c r="H131" s="2">
        <v>0</v>
      </c>
      <c r="I131" s="2">
        <v>0</v>
      </c>
      <c r="J131" s="8">
        <f>(data!J131-AVERAGE(data!J:J))/_xlfn.STDEV.S(data!J:J)</f>
        <v>-0.19177499635347484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0</v>
      </c>
      <c r="R131" s="2">
        <v>0</v>
      </c>
      <c r="S131" s="6" cm="1">
        <f t="array" ref="S131">$Y$2+MMULT(C131:R131,$Y$3:$Y$18)</f>
        <v>-5.1512422750741749</v>
      </c>
      <c r="T131" s="7">
        <f t="shared" ref="T131:T194" si="5">EXP(S131)/(1+EXP(S131))</f>
        <v>5.7588483154775395E-3</v>
      </c>
      <c r="U131" s="3">
        <f t="shared" si="4"/>
        <v>0</v>
      </c>
    </row>
    <row r="132" spans="1:21">
      <c r="A132" s="2">
        <v>131</v>
      </c>
      <c r="B132" s="2">
        <v>0</v>
      </c>
      <c r="C132" s="8">
        <f>(data!C132-AVERAGE(data!C:C))/_xlfn.STDEV.S(data!C:C)</f>
        <v>-1.2226550110127374</v>
      </c>
      <c r="D132" s="2">
        <v>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8">
        <f>(data!J132-AVERAGE(data!J:J))/_xlfn.STDEV.S(data!J:J)</f>
        <v>-1.1508688993495635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1</v>
      </c>
      <c r="R132" s="2">
        <v>0</v>
      </c>
      <c r="S132" s="6" cm="1">
        <f t="array" ref="S132">$Y$2+MMULT(C132:R132,$Y$3:$Y$18)</f>
        <v>-12.651603992862718</v>
      </c>
      <c r="T132" s="7">
        <f t="shared" si="5"/>
        <v>3.2024090755860422E-6</v>
      </c>
      <c r="U132" s="3">
        <f t="shared" si="4"/>
        <v>0</v>
      </c>
    </row>
    <row r="133" spans="1:21">
      <c r="A133" s="2">
        <v>132</v>
      </c>
      <c r="B133" s="2">
        <v>1</v>
      </c>
      <c r="C133" s="8">
        <f>(data!C133-AVERAGE(data!C:C))/_xlfn.STDEV.S(data!C:C)</f>
        <v>1.6755963749986986</v>
      </c>
      <c r="D133" s="2">
        <v>1</v>
      </c>
      <c r="E133" s="2">
        <v>0</v>
      </c>
      <c r="F133" s="2">
        <v>1</v>
      </c>
      <c r="G133" s="2">
        <v>1</v>
      </c>
      <c r="H133" s="2">
        <v>0</v>
      </c>
      <c r="I133" s="2">
        <v>0</v>
      </c>
      <c r="J133" s="8">
        <f>(data!J133-AVERAGE(data!J:J))/_xlfn.STDEV.S(data!J:J)</f>
        <v>2.4641773504049245</v>
      </c>
      <c r="K133" s="2">
        <v>0</v>
      </c>
      <c r="L133" s="2">
        <v>1</v>
      </c>
      <c r="M133" s="2">
        <v>0</v>
      </c>
      <c r="N133" s="2">
        <v>1</v>
      </c>
      <c r="O133" s="2">
        <v>1</v>
      </c>
      <c r="P133" s="2">
        <v>1</v>
      </c>
      <c r="Q133" s="2">
        <v>0</v>
      </c>
      <c r="R133" s="2">
        <v>0</v>
      </c>
      <c r="S133" s="6" cm="1">
        <f t="array" ref="S133">$Y$2+MMULT(C133:R133,$Y$3:$Y$18)</f>
        <v>3.1402071657321819</v>
      </c>
      <c r="T133" s="7">
        <f t="shared" si="5"/>
        <v>0.95852111805553342</v>
      </c>
      <c r="U133" s="3">
        <f t="shared" si="4"/>
        <v>1</v>
      </c>
    </row>
    <row r="134" spans="1:21">
      <c r="A134" s="2">
        <v>133</v>
      </c>
      <c r="B134" s="2">
        <v>0</v>
      </c>
      <c r="C134" s="8">
        <f>(data!C134-AVERAGE(data!C:C))/_xlfn.STDEV.S(data!C:C)</f>
        <v>3.7454287253104325E-2</v>
      </c>
      <c r="D134" s="2">
        <v>1</v>
      </c>
      <c r="E134" s="2">
        <v>1</v>
      </c>
      <c r="F134" s="2">
        <v>0</v>
      </c>
      <c r="G134" s="2">
        <v>0</v>
      </c>
      <c r="H134" s="2">
        <v>0</v>
      </c>
      <c r="I134" s="2">
        <v>0</v>
      </c>
      <c r="J134" s="8">
        <f>(data!J134-AVERAGE(data!J:J))/_xlfn.STDEV.S(data!J:J)</f>
        <v>-1.0770924452729411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0</v>
      </c>
      <c r="S134" s="6" cm="1">
        <f t="array" ref="S134">$Y$2+MMULT(C134:R134,$Y$3:$Y$18)</f>
        <v>-7.2673669361568995</v>
      </c>
      <c r="T134" s="7">
        <f t="shared" si="5"/>
        <v>6.9746052557970422E-4</v>
      </c>
      <c r="U134" s="3">
        <f t="shared" si="4"/>
        <v>0</v>
      </c>
    </row>
    <row r="135" spans="1:21">
      <c r="A135" s="2">
        <v>134</v>
      </c>
      <c r="B135" s="2">
        <v>1</v>
      </c>
      <c r="C135" s="8">
        <f>(data!C135-AVERAGE(data!C:C))/_xlfn.STDEV.S(data!C:C)</f>
        <v>1.6755963749986986</v>
      </c>
      <c r="D135" s="2">
        <v>0</v>
      </c>
      <c r="E135" s="2">
        <v>1</v>
      </c>
      <c r="F135" s="2">
        <v>1</v>
      </c>
      <c r="G135" s="2">
        <v>1</v>
      </c>
      <c r="H135" s="2">
        <v>0</v>
      </c>
      <c r="I135" s="2">
        <v>0</v>
      </c>
      <c r="J135" s="8">
        <f>(data!J135-AVERAGE(data!J:J))/_xlfn.STDEV.S(data!J:J)</f>
        <v>-0.48688081265996364</v>
      </c>
      <c r="K135" s="2">
        <v>1</v>
      </c>
      <c r="L135" s="2">
        <v>0</v>
      </c>
      <c r="M135" s="2">
        <v>1</v>
      </c>
      <c r="N135" s="2">
        <v>1</v>
      </c>
      <c r="O135" s="2">
        <v>1</v>
      </c>
      <c r="P135" s="2">
        <v>1</v>
      </c>
      <c r="Q135" s="2">
        <v>0</v>
      </c>
      <c r="R135" s="2">
        <v>0</v>
      </c>
      <c r="S135" s="6" cm="1">
        <f t="array" ref="S135">$Y$2+MMULT(C135:R135,$Y$3:$Y$18)</f>
        <v>3.6602305896001308</v>
      </c>
      <c r="T135" s="7">
        <f t="shared" si="5"/>
        <v>0.97491867689866174</v>
      </c>
      <c r="U135" s="3">
        <f t="shared" si="4"/>
        <v>1</v>
      </c>
    </row>
    <row r="136" spans="1:21">
      <c r="A136" s="2">
        <v>135</v>
      </c>
      <c r="B136" s="2">
        <v>0</v>
      </c>
      <c r="C136" s="8">
        <f>(data!C136-AVERAGE(data!C:C))/_xlfn.STDEV.S(data!C:C)</f>
        <v>-0.38258214550217629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8">
        <f>(data!J136-AVERAGE(data!J:J))/_xlfn.STDEV.S(data!J:J)</f>
        <v>0.17710727402963619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1</v>
      </c>
      <c r="Q136" s="2">
        <v>0</v>
      </c>
      <c r="R136" s="2">
        <v>0</v>
      </c>
      <c r="S136" s="6" cm="1">
        <f t="array" ref="S136">$Y$2+MMULT(C136:R136,$Y$3:$Y$18)</f>
        <v>-8.7618177786490214</v>
      </c>
      <c r="T136" s="7">
        <f t="shared" si="5"/>
        <v>1.5657516651417061E-4</v>
      </c>
      <c r="U136" s="3">
        <f t="shared" si="4"/>
        <v>0</v>
      </c>
    </row>
    <row r="137" spans="1:21">
      <c r="A137" s="2">
        <v>136</v>
      </c>
      <c r="B137" s="2">
        <v>0</v>
      </c>
      <c r="C137" s="8">
        <f>(data!C137-AVERAGE(data!C:C))/_xlfn.STDEV.S(data!C:C)</f>
        <v>-8.8556642573479852E-2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  <c r="I137" s="2">
        <v>0</v>
      </c>
      <c r="J137" s="8">
        <f>(data!J137-AVERAGE(data!J:J))/_xlfn.STDEV.S(data!J:J)</f>
        <v>-1.2246453534261856</v>
      </c>
      <c r="K137" s="2">
        <v>0</v>
      </c>
      <c r="L137" s="2">
        <v>0</v>
      </c>
      <c r="M137" s="2">
        <v>1</v>
      </c>
      <c r="N137" s="2">
        <v>1</v>
      </c>
      <c r="O137" s="2">
        <v>0</v>
      </c>
      <c r="P137" s="2">
        <v>1</v>
      </c>
      <c r="Q137" s="2">
        <v>0</v>
      </c>
      <c r="R137" s="2">
        <v>0</v>
      </c>
      <c r="S137" s="6" cm="1">
        <f t="array" ref="S137">$Y$2+MMULT(C137:R137,$Y$3:$Y$18)</f>
        <v>-8.5085637368047387</v>
      </c>
      <c r="T137" s="7">
        <f t="shared" si="5"/>
        <v>2.0169267099770665E-4</v>
      </c>
      <c r="U137" s="3">
        <f t="shared" si="4"/>
        <v>0</v>
      </c>
    </row>
    <row r="138" spans="1:21">
      <c r="A138" s="2">
        <v>137</v>
      </c>
      <c r="B138" s="2">
        <v>0</v>
      </c>
      <c r="C138" s="8">
        <f>(data!C138-AVERAGE(data!C:C))/_xlfn.STDEV.S(data!C:C)</f>
        <v>7.9457930528632384E-2</v>
      </c>
      <c r="D138" s="2">
        <v>1</v>
      </c>
      <c r="E138" s="2">
        <v>0</v>
      </c>
      <c r="F138" s="2">
        <v>1</v>
      </c>
      <c r="G138" s="2">
        <v>1</v>
      </c>
      <c r="H138" s="2">
        <v>0</v>
      </c>
      <c r="I138" s="2">
        <v>0</v>
      </c>
      <c r="J138" s="8">
        <f>(data!J138-AVERAGE(data!J:J))/_xlfn.STDEV.S(data!J:J)</f>
        <v>-0.70821017488983018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6" cm="1">
        <f t="array" ref="S138">$Y$2+MMULT(C138:R138,$Y$3:$Y$18)</f>
        <v>-6.9561567838248504</v>
      </c>
      <c r="T138" s="7">
        <f t="shared" si="5"/>
        <v>9.5184430528018425E-4</v>
      </c>
      <c r="U138" s="3">
        <f t="shared" si="4"/>
        <v>0</v>
      </c>
    </row>
    <row r="139" spans="1:21">
      <c r="A139" s="2">
        <v>138</v>
      </c>
      <c r="B139" s="2">
        <v>0</v>
      </c>
      <c r="C139" s="8">
        <f>(data!C139-AVERAGE(data!C:C))/_xlfn.STDEV.S(data!C:C)</f>
        <v>-0.67660764843087262</v>
      </c>
      <c r="D139" s="2">
        <v>1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8">
        <f>(data!J139-AVERAGE(data!J:J))/_xlfn.STDEV.S(data!J:J)</f>
        <v>-0.48688081265996364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2">
        <v>0</v>
      </c>
      <c r="R139" s="2">
        <v>0</v>
      </c>
      <c r="S139" s="6" cm="1">
        <f t="array" ref="S139">$Y$2+MMULT(C139:R139,$Y$3:$Y$18)</f>
        <v>-10.728919839789986</v>
      </c>
      <c r="T139" s="7">
        <f t="shared" si="5"/>
        <v>2.1901799800889013E-5</v>
      </c>
      <c r="U139" s="3">
        <f t="shared" si="4"/>
        <v>0</v>
      </c>
    </row>
    <row r="140" spans="1:21">
      <c r="A140" s="2">
        <v>139</v>
      </c>
      <c r="B140" s="2">
        <v>0</v>
      </c>
      <c r="C140" s="8">
        <f>(data!C140-AVERAGE(data!C:C))/_xlfn.STDEV.S(data!C:C)</f>
        <v>-0.67660764843087262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8">
        <f>(data!J140-AVERAGE(data!J:J))/_xlfn.STDEV.S(data!J:J)</f>
        <v>0.10333081995301398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1</v>
      </c>
      <c r="Q140" s="2">
        <v>1</v>
      </c>
      <c r="R140" s="2">
        <v>0</v>
      </c>
      <c r="S140" s="6" cm="1">
        <f t="array" ref="S140">$Y$2+MMULT(C140:R140,$Y$3:$Y$18)</f>
        <v>-8.8323334073339623</v>
      </c>
      <c r="T140" s="7">
        <f t="shared" si="5"/>
        <v>1.4591601609422109E-4</v>
      </c>
      <c r="U140" s="3">
        <f t="shared" si="4"/>
        <v>0</v>
      </c>
    </row>
    <row r="141" spans="1:21">
      <c r="A141" s="2">
        <v>140</v>
      </c>
      <c r="B141" s="2">
        <v>0</v>
      </c>
      <c r="C141" s="8">
        <f>(data!C141-AVERAGE(data!C:C))/_xlfn.STDEV.S(data!C:C)</f>
        <v>-1.4746768706659057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8">
        <f>(data!J141-AVERAGE(data!J:J))/_xlfn.STDEV.S(data!J:J)</f>
        <v>-1.1508688993495635</v>
      </c>
      <c r="K141" s="2">
        <v>1</v>
      </c>
      <c r="L141" s="2">
        <v>0</v>
      </c>
      <c r="M141" s="2">
        <v>0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 s="6" cm="1">
        <f t="array" ref="S141">$Y$2+MMULT(C141:R141,$Y$3:$Y$18)</f>
        <v>-15.68229210120013</v>
      </c>
      <c r="T141" s="7">
        <f t="shared" si="5"/>
        <v>1.5462047734877498E-7</v>
      </c>
      <c r="U141" s="3">
        <f t="shared" si="4"/>
        <v>0</v>
      </c>
    </row>
    <row r="142" spans="1:21">
      <c r="A142" s="2">
        <v>141</v>
      </c>
      <c r="B142" s="2">
        <v>0</v>
      </c>
      <c r="C142" s="8">
        <f>(data!C142-AVERAGE(data!C:C))/_xlfn.STDEV.S(data!C:C)</f>
        <v>0.62550529311049718</v>
      </c>
      <c r="D142" s="2">
        <v>0</v>
      </c>
      <c r="E142" s="2">
        <v>0</v>
      </c>
      <c r="F142" s="2">
        <v>1</v>
      </c>
      <c r="G142" s="2">
        <v>1</v>
      </c>
      <c r="H142" s="2">
        <v>0</v>
      </c>
      <c r="I142" s="2">
        <v>0</v>
      </c>
      <c r="J142" s="8">
        <f>(data!J142-AVERAGE(data!J:J))/_xlfn.STDEV.S(data!J:J)</f>
        <v>0.91487181479585822</v>
      </c>
      <c r="K142" s="2">
        <v>0</v>
      </c>
      <c r="L142" s="2">
        <v>0</v>
      </c>
      <c r="M142" s="2">
        <v>1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  <c r="S142" s="6" cm="1">
        <f t="array" ref="S142">$Y$2+MMULT(C142:R142,$Y$3:$Y$18)</f>
        <v>-0.16687386722294795</v>
      </c>
      <c r="T142" s="7">
        <f t="shared" si="5"/>
        <v>0.4583780751517354</v>
      </c>
      <c r="U142" s="3">
        <f t="shared" si="4"/>
        <v>0</v>
      </c>
    </row>
    <row r="143" spans="1:21">
      <c r="A143" s="2">
        <v>142</v>
      </c>
      <c r="B143" s="2">
        <v>0</v>
      </c>
      <c r="C143" s="8">
        <f>(data!C143-AVERAGE(data!C:C))/_xlfn.STDEV.S(data!C:C)</f>
        <v>0.54149800655944103</v>
      </c>
      <c r="D143" s="2">
        <v>0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8">
        <f>(data!J143-AVERAGE(data!J:J))/_xlfn.STDEV.S(data!J:J)</f>
        <v>0.32466018218288056</v>
      </c>
      <c r="K143" s="2">
        <v>1</v>
      </c>
      <c r="L143" s="2">
        <v>1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6" cm="1">
        <f t="array" ref="S143">$Y$2+MMULT(C143:R143,$Y$3:$Y$18)</f>
        <v>-0.39763156350640871</v>
      </c>
      <c r="T143" s="7">
        <f t="shared" si="5"/>
        <v>0.40188151497607311</v>
      </c>
      <c r="U143" s="3">
        <f t="shared" si="4"/>
        <v>0</v>
      </c>
    </row>
    <row r="144" spans="1:21">
      <c r="A144" s="2">
        <v>143</v>
      </c>
      <c r="B144" s="2">
        <v>0</v>
      </c>
      <c r="C144" s="8">
        <f>(data!C144-AVERAGE(data!C:C))/_xlfn.STDEV.S(data!C:C)</f>
        <v>1.6755963749986986</v>
      </c>
      <c r="D144" s="2">
        <v>0</v>
      </c>
      <c r="E144" s="2">
        <v>1</v>
      </c>
      <c r="F144" s="2">
        <v>0</v>
      </c>
      <c r="G144" s="2">
        <v>0</v>
      </c>
      <c r="H144" s="2">
        <v>1</v>
      </c>
      <c r="I144" s="2">
        <v>0</v>
      </c>
      <c r="J144" s="8">
        <f>(data!J144-AVERAGE(data!J:J))/_xlfn.STDEV.S(data!J:J)</f>
        <v>-0.26555145043009704</v>
      </c>
      <c r="K144" s="2">
        <v>0</v>
      </c>
      <c r="L144" s="2">
        <v>0</v>
      </c>
      <c r="M144" s="2">
        <v>1</v>
      </c>
      <c r="N144" s="2">
        <v>1</v>
      </c>
      <c r="O144" s="2">
        <v>1</v>
      </c>
      <c r="P144" s="2">
        <v>1</v>
      </c>
      <c r="Q144" s="2">
        <v>0</v>
      </c>
      <c r="R144" s="2">
        <v>0</v>
      </c>
      <c r="S144" s="6" cm="1">
        <f t="array" ref="S144">$Y$2+MMULT(C144:R144,$Y$3:$Y$18)</f>
        <v>2.0337970683945947</v>
      </c>
      <c r="T144" s="7">
        <f t="shared" si="5"/>
        <v>0.88430013618049463</v>
      </c>
      <c r="U144" s="3">
        <f t="shared" si="4"/>
        <v>1</v>
      </c>
    </row>
    <row r="145" spans="1:21">
      <c r="A145" s="2">
        <v>144</v>
      </c>
      <c r="B145" s="2">
        <v>0</v>
      </c>
      <c r="C145" s="8">
        <f>(data!C145-AVERAGE(data!C:C))/_xlfn.STDEV.S(data!C:C)</f>
        <v>-1.3906695841148498</v>
      </c>
      <c r="D145" s="2">
        <v>1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8">
        <f>(data!J145-AVERAGE(data!J:J))/_xlfn.STDEV.S(data!J:J)</f>
        <v>-1.1508688993495635</v>
      </c>
      <c r="K145" s="2">
        <v>0</v>
      </c>
      <c r="L145" s="2">
        <v>0</v>
      </c>
      <c r="M145" s="2">
        <v>1</v>
      </c>
      <c r="N145" s="2">
        <v>0</v>
      </c>
      <c r="O145" s="2">
        <v>1</v>
      </c>
      <c r="P145" s="2">
        <v>1</v>
      </c>
      <c r="Q145" s="2">
        <v>0</v>
      </c>
      <c r="R145" s="2">
        <v>0</v>
      </c>
      <c r="S145" s="6" cm="1">
        <f t="array" ref="S145">$Y$2+MMULT(C145:R145,$Y$3:$Y$18)</f>
        <v>-16.001184620615433</v>
      </c>
      <c r="T145" s="7">
        <f t="shared" si="5"/>
        <v>1.1240192952772789E-7</v>
      </c>
      <c r="U145" s="3">
        <f t="shared" si="4"/>
        <v>0</v>
      </c>
    </row>
    <row r="146" spans="1:21">
      <c r="A146" s="2">
        <v>145</v>
      </c>
      <c r="B146" s="2">
        <v>0</v>
      </c>
      <c r="C146" s="8">
        <f>(data!C146-AVERAGE(data!C:C))/_xlfn.STDEV.S(data!C:C)</f>
        <v>-1.0546404379106251</v>
      </c>
      <c r="D146" s="2">
        <v>1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8">
        <f>(data!J146-AVERAGE(data!J:J))/_xlfn.STDEV.S(data!J:J)</f>
        <v>-0.70821017488983018</v>
      </c>
      <c r="K146" s="2">
        <v>0</v>
      </c>
      <c r="L146" s="2">
        <v>0</v>
      </c>
      <c r="M146" s="2">
        <v>0</v>
      </c>
      <c r="N146" s="2">
        <v>0</v>
      </c>
      <c r="O146" s="2">
        <v>1</v>
      </c>
      <c r="P146" s="2">
        <v>1</v>
      </c>
      <c r="Q146" s="2">
        <v>0</v>
      </c>
      <c r="R146" s="2">
        <v>0</v>
      </c>
      <c r="S146" s="6" cm="1">
        <f t="array" ref="S146">$Y$2+MMULT(C146:R146,$Y$3:$Y$18)</f>
        <v>-15.232592076527787</v>
      </c>
      <c r="T146" s="7">
        <f t="shared" si="5"/>
        <v>2.4242042640644059E-7</v>
      </c>
      <c r="U146" s="3">
        <f t="shared" si="4"/>
        <v>0</v>
      </c>
    </row>
    <row r="147" spans="1:21">
      <c r="A147" s="2">
        <v>146</v>
      </c>
      <c r="B147" s="2">
        <v>0</v>
      </c>
      <c r="C147" s="8">
        <f>(data!C147-AVERAGE(data!C:C))/_xlfn.STDEV.S(data!C:C)</f>
        <v>0.5835016498349691</v>
      </c>
      <c r="D147" s="2">
        <v>0</v>
      </c>
      <c r="E147" s="2">
        <v>0</v>
      </c>
      <c r="F147" s="2">
        <v>0</v>
      </c>
      <c r="G147" s="2">
        <v>1</v>
      </c>
      <c r="H147" s="2">
        <v>0</v>
      </c>
      <c r="I147" s="2">
        <v>0</v>
      </c>
      <c r="J147" s="8">
        <f>(data!J147-AVERAGE(data!J:J))/_xlfn.STDEV.S(data!J:J)</f>
        <v>2.9554365876391778E-2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  <c r="P147" s="2">
        <v>1</v>
      </c>
      <c r="Q147" s="2">
        <v>0</v>
      </c>
      <c r="R147" s="2">
        <v>0</v>
      </c>
      <c r="S147" s="6" cm="1">
        <f t="array" ref="S147">$Y$2+MMULT(C147:R147,$Y$3:$Y$18)</f>
        <v>-3.0914525034981506</v>
      </c>
      <c r="T147" s="7">
        <f t="shared" si="5"/>
        <v>4.3461210936589001E-2</v>
      </c>
      <c r="U147" s="3">
        <f t="shared" si="4"/>
        <v>0</v>
      </c>
    </row>
    <row r="148" spans="1:21">
      <c r="A148" s="2">
        <v>147</v>
      </c>
      <c r="B148" s="2">
        <v>0</v>
      </c>
      <c r="C148" s="8">
        <f>(data!C148-AVERAGE(data!C:C))/_xlfn.STDEV.S(data!C:C)</f>
        <v>-0.38258214550217629</v>
      </c>
      <c r="D148" s="2">
        <v>0</v>
      </c>
      <c r="E148" s="2">
        <v>0</v>
      </c>
      <c r="F148" s="2">
        <v>1</v>
      </c>
      <c r="G148" s="2">
        <v>1</v>
      </c>
      <c r="H148" s="2">
        <v>0</v>
      </c>
      <c r="I148" s="2">
        <v>0</v>
      </c>
      <c r="J148" s="8">
        <f>(data!J148-AVERAGE(data!J:J))/_xlfn.STDEV.S(data!J:J)</f>
        <v>-1.0770924452729411</v>
      </c>
      <c r="K148" s="2">
        <v>0</v>
      </c>
      <c r="L148" s="2">
        <v>0</v>
      </c>
      <c r="M148" s="2">
        <v>0</v>
      </c>
      <c r="N148" s="2">
        <v>0</v>
      </c>
      <c r="O148" s="2">
        <v>1</v>
      </c>
      <c r="P148" s="2">
        <v>1</v>
      </c>
      <c r="Q148" s="2">
        <v>0</v>
      </c>
      <c r="R148" s="2">
        <v>0</v>
      </c>
      <c r="S148" s="6" cm="1">
        <f t="array" ref="S148">$Y$2+MMULT(C148:R148,$Y$3:$Y$18)</f>
        <v>-10.107923336152668</v>
      </c>
      <c r="T148" s="7">
        <f t="shared" si="5"/>
        <v>4.075369324209461E-5</v>
      </c>
      <c r="U148" s="3">
        <f t="shared" si="4"/>
        <v>0</v>
      </c>
    </row>
    <row r="149" spans="1:21">
      <c r="A149" s="2">
        <v>148</v>
      </c>
      <c r="B149" s="2">
        <v>0</v>
      </c>
      <c r="C149" s="8">
        <f>(data!C149-AVERAGE(data!C:C))/_xlfn.STDEV.S(data!C:C)</f>
        <v>-1.2226550110127374</v>
      </c>
      <c r="D149" s="2">
        <v>1</v>
      </c>
      <c r="E149" s="2">
        <v>0</v>
      </c>
      <c r="F149" s="2">
        <v>0</v>
      </c>
      <c r="G149" s="2">
        <v>0</v>
      </c>
      <c r="H149" s="2">
        <v>0</v>
      </c>
      <c r="I149" s="2">
        <v>1</v>
      </c>
      <c r="J149" s="8">
        <f>(data!J149-AVERAGE(data!J:J))/_xlfn.STDEV.S(data!J:J)</f>
        <v>-1.2984218075028078</v>
      </c>
      <c r="K149" s="2">
        <v>0</v>
      </c>
      <c r="L149" s="2">
        <v>1</v>
      </c>
      <c r="M149" s="2">
        <v>0</v>
      </c>
      <c r="N149" s="2">
        <v>0</v>
      </c>
      <c r="O149" s="2">
        <v>1</v>
      </c>
      <c r="P149" s="2">
        <v>1</v>
      </c>
      <c r="Q149" s="2">
        <v>0</v>
      </c>
      <c r="R149" s="2">
        <v>0</v>
      </c>
      <c r="S149" s="6" cm="1">
        <f t="array" ref="S149">$Y$2+MMULT(C149:R149,$Y$3:$Y$18)</f>
        <v>-13.718329824939806</v>
      </c>
      <c r="T149" s="7">
        <f t="shared" si="5"/>
        <v>1.1020583196419009E-6</v>
      </c>
      <c r="U149" s="3">
        <f t="shared" si="4"/>
        <v>0</v>
      </c>
    </row>
    <row r="150" spans="1:21">
      <c r="A150" s="2">
        <v>149</v>
      </c>
      <c r="B150" s="2">
        <v>0</v>
      </c>
      <c r="C150" s="8">
        <f>(data!C150-AVERAGE(data!C:C))/_xlfn.STDEV.S(data!C:C)</f>
        <v>-0.13056028584900792</v>
      </c>
      <c r="D150" s="2">
        <v>0</v>
      </c>
      <c r="E150" s="2">
        <v>1</v>
      </c>
      <c r="F150" s="2">
        <v>0</v>
      </c>
      <c r="G150" s="2">
        <v>0</v>
      </c>
      <c r="H150" s="2">
        <v>0</v>
      </c>
      <c r="I150" s="2">
        <v>0</v>
      </c>
      <c r="J150" s="8">
        <f>(data!J150-AVERAGE(data!J:J))/_xlfn.STDEV.S(data!J:J)</f>
        <v>0.47221309033612496</v>
      </c>
      <c r="K150" s="2">
        <v>1</v>
      </c>
      <c r="L150" s="2">
        <v>0</v>
      </c>
      <c r="M150" s="2">
        <v>1</v>
      </c>
      <c r="N150" s="2">
        <v>1</v>
      </c>
      <c r="O150" s="2">
        <v>1</v>
      </c>
      <c r="P150" s="2">
        <v>1</v>
      </c>
      <c r="Q150" s="2">
        <v>0</v>
      </c>
      <c r="R150" s="2">
        <v>0</v>
      </c>
      <c r="S150" s="6" cm="1">
        <f t="array" ref="S150">$Y$2+MMULT(C150:R150,$Y$3:$Y$18)</f>
        <v>-5.1957120375652419</v>
      </c>
      <c r="T150" s="7">
        <f t="shared" si="5"/>
        <v>5.5097445571821906E-3</v>
      </c>
      <c r="U150" s="3">
        <f t="shared" si="4"/>
        <v>0</v>
      </c>
    </row>
    <row r="151" spans="1:21">
      <c r="A151" s="2">
        <v>150</v>
      </c>
      <c r="B151" s="2">
        <v>0</v>
      </c>
      <c r="C151" s="8">
        <f>(data!C151-AVERAGE(data!C:C))/_xlfn.STDEV.S(data!C:C)</f>
        <v>0.5835016498349691</v>
      </c>
      <c r="D151" s="2">
        <v>1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8">
        <f>(data!J151-AVERAGE(data!J:J))/_xlfn.STDEV.S(data!J:J)</f>
        <v>0.25088372810625836</v>
      </c>
      <c r="K151" s="2">
        <v>1</v>
      </c>
      <c r="L151" s="2">
        <v>0</v>
      </c>
      <c r="M151" s="2">
        <v>1</v>
      </c>
      <c r="N151" s="2">
        <v>1</v>
      </c>
      <c r="O151" s="2">
        <v>1</v>
      </c>
      <c r="P151" s="2">
        <v>1</v>
      </c>
      <c r="Q151" s="2">
        <v>0</v>
      </c>
      <c r="R151" s="2">
        <v>0</v>
      </c>
      <c r="S151" s="6" cm="1">
        <f t="array" ref="S151">$Y$2+MMULT(C151:R151,$Y$3:$Y$18)</f>
        <v>-0.8919960963609781</v>
      </c>
      <c r="T151" s="7">
        <f t="shared" si="5"/>
        <v>0.29069807503934653</v>
      </c>
      <c r="U151" s="3">
        <f t="shared" si="4"/>
        <v>0</v>
      </c>
    </row>
    <row r="152" spans="1:21">
      <c r="A152" s="2">
        <v>151</v>
      </c>
      <c r="B152" s="2">
        <v>0</v>
      </c>
      <c r="C152" s="8">
        <f>(data!C152-AVERAGE(data!C:C))/_xlfn.STDEV.S(data!C:C)</f>
        <v>-8.8556642573479852E-2</v>
      </c>
      <c r="D152" s="2">
        <v>1</v>
      </c>
      <c r="E152" s="2">
        <v>1</v>
      </c>
      <c r="F152" s="2">
        <v>1</v>
      </c>
      <c r="G152" s="2">
        <v>0</v>
      </c>
      <c r="H152" s="2">
        <v>0</v>
      </c>
      <c r="I152" s="2">
        <v>0</v>
      </c>
      <c r="J152" s="8">
        <f>(data!J152-AVERAGE(data!J:J))/_xlfn.STDEV.S(data!J:J)</f>
        <v>0.69354245256599156</v>
      </c>
      <c r="K152" s="2">
        <v>0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>
        <v>0</v>
      </c>
      <c r="R152" s="2">
        <v>0</v>
      </c>
      <c r="S152" s="6" cm="1">
        <f t="array" ref="S152">$Y$2+MMULT(C152:R152,$Y$3:$Y$18)</f>
        <v>-6.3140101512456974</v>
      </c>
      <c r="T152" s="7">
        <f t="shared" si="5"/>
        <v>1.8074843342495291E-3</v>
      </c>
      <c r="U152" s="3">
        <f t="shared" si="4"/>
        <v>0</v>
      </c>
    </row>
    <row r="153" spans="1:21">
      <c r="A153" s="2">
        <v>152</v>
      </c>
      <c r="B153" s="2">
        <v>0</v>
      </c>
      <c r="C153" s="8">
        <f>(data!C153-AVERAGE(data!C:C))/_xlfn.STDEV.S(data!C:C)</f>
        <v>1.0875453691413057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8">
        <f>(data!J153-AVERAGE(data!J:J))/_xlfn.STDEV.S(data!J:J)</f>
        <v>-1.2246453534261856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1</v>
      </c>
      <c r="Q153" s="2">
        <v>0</v>
      </c>
      <c r="R153" s="2">
        <v>1</v>
      </c>
      <c r="S153" s="6" cm="1">
        <f t="array" ref="S153">$Y$2+MMULT(C153:R153,$Y$3:$Y$18)</f>
        <v>-0.47633857633318311</v>
      </c>
      <c r="T153" s="7">
        <f t="shared" si="5"/>
        <v>0.38311708905306457</v>
      </c>
      <c r="U153" s="3">
        <f t="shared" si="4"/>
        <v>0</v>
      </c>
    </row>
    <row r="154" spans="1:21">
      <c r="A154" s="2">
        <v>153</v>
      </c>
      <c r="B154" s="2">
        <v>0</v>
      </c>
      <c r="C154" s="8">
        <f>(data!C154-AVERAGE(data!C:C))/_xlfn.STDEV.S(data!C:C)</f>
        <v>-1.2226550110127374</v>
      </c>
      <c r="D154" s="2">
        <v>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8">
        <f>(data!J154-AVERAGE(data!J:J))/_xlfn.STDEV.S(data!J:J)</f>
        <v>2.9554365876391778E-2</v>
      </c>
      <c r="K154" s="2">
        <v>0</v>
      </c>
      <c r="L154" s="2">
        <v>1</v>
      </c>
      <c r="M154" s="2">
        <v>0</v>
      </c>
      <c r="N154" s="2">
        <v>1</v>
      </c>
      <c r="O154" s="2">
        <v>1</v>
      </c>
      <c r="P154" s="2">
        <v>1</v>
      </c>
      <c r="Q154" s="2">
        <v>0</v>
      </c>
      <c r="R154" s="2">
        <v>0</v>
      </c>
      <c r="S154" s="6" cm="1">
        <f t="array" ref="S154">$Y$2+MMULT(C154:R154,$Y$3:$Y$18)</f>
        <v>-14.237787621434153</v>
      </c>
      <c r="T154" s="7">
        <f t="shared" si="5"/>
        <v>6.5555195486263658E-7</v>
      </c>
      <c r="U154" s="3">
        <f t="shared" si="4"/>
        <v>0</v>
      </c>
    </row>
    <row r="155" spans="1:21">
      <c r="A155" s="2">
        <v>154</v>
      </c>
      <c r="B155" s="2">
        <v>0</v>
      </c>
      <c r="C155" s="8">
        <f>(data!C155-AVERAGE(data!C:C))/_xlfn.STDEV.S(data!C:C)</f>
        <v>-1.0546404379106251</v>
      </c>
      <c r="D155" s="2">
        <v>1</v>
      </c>
      <c r="E155" s="2">
        <v>0</v>
      </c>
      <c r="F155" s="2">
        <v>0</v>
      </c>
      <c r="G155" s="2">
        <v>0</v>
      </c>
      <c r="H155" s="2">
        <v>0</v>
      </c>
      <c r="I155" s="2">
        <v>1</v>
      </c>
      <c r="J155" s="8">
        <f>(data!J155-AVERAGE(data!J:J))/_xlfn.STDEV.S(data!J:J)</f>
        <v>0.17710727402963619</v>
      </c>
      <c r="K155" s="2">
        <v>0</v>
      </c>
      <c r="L155" s="2">
        <v>1</v>
      </c>
      <c r="M155" s="2">
        <v>0</v>
      </c>
      <c r="N155" s="2">
        <v>1</v>
      </c>
      <c r="O155" s="2">
        <v>1</v>
      </c>
      <c r="P155" s="2">
        <v>1</v>
      </c>
      <c r="Q155" s="2">
        <v>0</v>
      </c>
      <c r="R155" s="2">
        <v>0</v>
      </c>
      <c r="S155" s="6" cm="1">
        <f t="array" ref="S155">$Y$2+MMULT(C155:R155,$Y$3:$Y$18)</f>
        <v>-12.303769971191532</v>
      </c>
      <c r="T155" s="7">
        <f t="shared" si="5"/>
        <v>4.5345962605699322E-6</v>
      </c>
      <c r="U155" s="3">
        <f t="shared" si="4"/>
        <v>0</v>
      </c>
    </row>
    <row r="156" spans="1:21">
      <c r="A156" s="2">
        <v>155</v>
      </c>
      <c r="B156" s="2">
        <v>0</v>
      </c>
      <c r="C156" s="8">
        <f>(data!C156-AVERAGE(data!C:C))/_xlfn.STDEV.S(data!C:C)</f>
        <v>-1.3906695841148498</v>
      </c>
      <c r="D156" s="2">
        <v>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8">
        <f>(data!J156-AVERAGE(data!J:J))/_xlfn.STDEV.S(data!J:J)</f>
        <v>-1.2984218075028078</v>
      </c>
      <c r="K156" s="2">
        <v>0</v>
      </c>
      <c r="L156" s="2">
        <v>0</v>
      </c>
      <c r="M156" s="2">
        <v>0</v>
      </c>
      <c r="N156" s="2">
        <v>1</v>
      </c>
      <c r="O156" s="2">
        <v>1</v>
      </c>
      <c r="P156" s="2">
        <v>1</v>
      </c>
      <c r="Q156" s="2">
        <v>1</v>
      </c>
      <c r="R156" s="2">
        <v>0</v>
      </c>
      <c r="S156" s="6" cm="1">
        <f t="array" ref="S156">$Y$2+MMULT(C156:R156,$Y$3:$Y$18)</f>
        <v>-14.202590725952035</v>
      </c>
      <c r="T156" s="7">
        <f t="shared" si="5"/>
        <v>6.7903619465175234E-7</v>
      </c>
      <c r="U156" s="3">
        <f t="shared" si="4"/>
        <v>0</v>
      </c>
    </row>
    <row r="157" spans="1:21">
      <c r="A157" s="2">
        <v>156</v>
      </c>
      <c r="B157" s="2">
        <v>0</v>
      </c>
      <c r="C157" s="8">
        <f>(data!C157-AVERAGE(data!C:C))/_xlfn.STDEV.S(data!C:C)</f>
        <v>1.0875453691413057</v>
      </c>
      <c r="D157" s="2">
        <v>0</v>
      </c>
      <c r="E157" s="2">
        <v>0</v>
      </c>
      <c r="F157" s="2">
        <v>0</v>
      </c>
      <c r="G157" s="2">
        <v>1</v>
      </c>
      <c r="H157" s="2">
        <v>0</v>
      </c>
      <c r="I157" s="2">
        <v>0</v>
      </c>
      <c r="J157" s="8">
        <f>(data!J157-AVERAGE(data!J:J))/_xlfn.STDEV.S(data!J:J)</f>
        <v>-4.4222088200230422E-2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1</v>
      </c>
      <c r="Q157" s="2">
        <v>0</v>
      </c>
      <c r="R157" s="2">
        <v>0</v>
      </c>
      <c r="S157" s="6" cm="1">
        <f t="array" ref="S157">$Y$2+MMULT(C157:R157,$Y$3:$Y$18)</f>
        <v>-0.1310982862033736</v>
      </c>
      <c r="T157" s="7">
        <f t="shared" si="5"/>
        <v>0.46727228863969139</v>
      </c>
      <c r="U157" s="3">
        <f t="shared" si="4"/>
        <v>0</v>
      </c>
    </row>
    <row r="158" spans="1:21">
      <c r="A158" s="2">
        <v>157</v>
      </c>
      <c r="B158" s="2">
        <v>0</v>
      </c>
      <c r="C158" s="8">
        <f>(data!C158-AVERAGE(data!C:C))/_xlfn.STDEV.S(data!C:C)</f>
        <v>-0.17256392912453597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8">
        <f>(data!J158-AVERAGE(data!J:J))/_xlfn.STDEV.S(data!J:J)</f>
        <v>-0.56065726673658578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1</v>
      </c>
      <c r="Q158" s="2">
        <v>0</v>
      </c>
      <c r="R158" s="2">
        <v>0</v>
      </c>
      <c r="S158" s="6" cm="1">
        <f t="array" ref="S158">$Y$2+MMULT(C158:R158,$Y$3:$Y$18)</f>
        <v>-9.3743492441232448</v>
      </c>
      <c r="T158" s="7">
        <f t="shared" si="5"/>
        <v>8.4866246283916868E-5</v>
      </c>
      <c r="U158" s="3">
        <f t="shared" si="4"/>
        <v>0</v>
      </c>
    </row>
    <row r="159" spans="1:21">
      <c r="A159" s="2">
        <v>158</v>
      </c>
      <c r="B159" s="2">
        <v>0</v>
      </c>
      <c r="C159" s="8">
        <f>(data!C159-AVERAGE(data!C:C))/_xlfn.STDEV.S(data!C:C)</f>
        <v>-0.92862950808404099</v>
      </c>
      <c r="D159" s="2">
        <v>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8">
        <f>(data!J159-AVERAGE(data!J:J))/_xlfn.STDEV.S(data!J:J)</f>
        <v>-0.19177499635347484</v>
      </c>
      <c r="K159" s="2">
        <v>0</v>
      </c>
      <c r="L159" s="2">
        <v>1</v>
      </c>
      <c r="M159" s="2">
        <v>0</v>
      </c>
      <c r="N159" s="2">
        <v>1</v>
      </c>
      <c r="O159" s="2">
        <v>1</v>
      </c>
      <c r="P159" s="2">
        <v>1</v>
      </c>
      <c r="Q159" s="2">
        <v>0</v>
      </c>
      <c r="R159" s="2">
        <v>0</v>
      </c>
      <c r="S159" s="6" cm="1">
        <f t="array" ref="S159">$Y$2+MMULT(C159:R159,$Y$3:$Y$18)</f>
        <v>-12.616676593271725</v>
      </c>
      <c r="T159" s="7">
        <f t="shared" si="5"/>
        <v>3.3162368079188396E-6</v>
      </c>
      <c r="U159" s="3">
        <f t="shared" si="4"/>
        <v>0</v>
      </c>
    </row>
    <row r="160" spans="1:21">
      <c r="A160" s="2">
        <v>159</v>
      </c>
      <c r="B160" s="2">
        <v>0</v>
      </c>
      <c r="C160" s="8">
        <f>(data!C160-AVERAGE(data!C:C))/_xlfn.STDEV.S(data!C:C)</f>
        <v>-1.2226550110127374</v>
      </c>
      <c r="D160" s="2">
        <v>1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8">
        <f>(data!J160-AVERAGE(data!J:J))/_xlfn.STDEV.S(data!J:J)</f>
        <v>-0.19177499635347484</v>
      </c>
      <c r="K160" s="2">
        <v>0</v>
      </c>
      <c r="L160" s="2">
        <v>1</v>
      </c>
      <c r="M160" s="2">
        <v>0</v>
      </c>
      <c r="N160" s="2">
        <v>1</v>
      </c>
      <c r="O160" s="2">
        <v>1</v>
      </c>
      <c r="P160" s="2">
        <v>1</v>
      </c>
      <c r="Q160" s="2">
        <v>0</v>
      </c>
      <c r="R160" s="2">
        <v>0</v>
      </c>
      <c r="S160" s="6" cm="1">
        <f t="array" ref="S160">$Y$2+MMULT(C160:R160,$Y$3:$Y$18)</f>
        <v>-14.36907870934253</v>
      </c>
      <c r="T160" s="7">
        <f t="shared" si="5"/>
        <v>5.7489450402824364E-7</v>
      </c>
      <c r="U160" s="3">
        <f t="shared" si="4"/>
        <v>0</v>
      </c>
    </row>
    <row r="161" spans="1:21">
      <c r="A161" s="2">
        <v>160</v>
      </c>
      <c r="B161" s="2">
        <v>0</v>
      </c>
      <c r="C161" s="8">
        <f>(data!C161-AVERAGE(data!C:C))/_xlfn.STDEV.S(data!C:C)</f>
        <v>-0.84462222153298494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8">
        <f>(data!J161-AVERAGE(data!J:J))/_xlfn.STDEV.S(data!J:J)</f>
        <v>-0.70821017488983018</v>
      </c>
      <c r="K161" s="2">
        <v>0</v>
      </c>
      <c r="L161" s="2">
        <v>1</v>
      </c>
      <c r="M161" s="2">
        <v>0</v>
      </c>
      <c r="N161" s="2">
        <v>1</v>
      </c>
      <c r="O161" s="2">
        <v>0</v>
      </c>
      <c r="P161" s="2">
        <v>1</v>
      </c>
      <c r="Q161" s="2">
        <v>0</v>
      </c>
      <c r="R161" s="2">
        <v>0</v>
      </c>
      <c r="S161" s="6" cm="1">
        <f t="array" ref="S161">$Y$2+MMULT(C161:R161,$Y$3:$Y$18)</f>
        <v>-14.303795519485284</v>
      </c>
      <c r="T161" s="7">
        <f t="shared" si="5"/>
        <v>6.1367759691501548E-7</v>
      </c>
      <c r="U161" s="3">
        <f t="shared" si="4"/>
        <v>0</v>
      </c>
    </row>
    <row r="162" spans="1:21">
      <c r="A162" s="2">
        <v>161</v>
      </c>
      <c r="B162" s="2">
        <v>0</v>
      </c>
      <c r="C162" s="8">
        <f>(data!C162-AVERAGE(data!C:C))/_xlfn.STDEV.S(data!C:C)</f>
        <v>-1.3486659408393216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8">
        <f>(data!J162-AVERAGE(data!J:J))/_xlfn.STDEV.S(data!J:J)</f>
        <v>-0.11799854227685262</v>
      </c>
      <c r="K162" s="2">
        <v>0</v>
      </c>
      <c r="L162" s="2">
        <v>1</v>
      </c>
      <c r="M162" s="2">
        <v>0</v>
      </c>
      <c r="N162" s="2">
        <v>1</v>
      </c>
      <c r="O162" s="2">
        <v>1</v>
      </c>
      <c r="P162" s="2">
        <v>1</v>
      </c>
      <c r="Q162" s="2">
        <v>0</v>
      </c>
      <c r="R162" s="2">
        <v>0</v>
      </c>
      <c r="S162" s="6" cm="1">
        <f t="array" ref="S162">$Y$2+MMULT(C162:R162,$Y$3:$Y$18)</f>
        <v>-15.255517810344102</v>
      </c>
      <c r="T162" s="7">
        <f t="shared" si="5"/>
        <v>2.369259842643195E-7</v>
      </c>
      <c r="U162" s="3">
        <f t="shared" si="4"/>
        <v>0</v>
      </c>
    </row>
    <row r="163" spans="1:21">
      <c r="A163" s="2">
        <v>162</v>
      </c>
      <c r="B163" s="2">
        <v>0</v>
      </c>
      <c r="C163" s="8">
        <f>(data!C163-AVERAGE(data!C:C))/_xlfn.STDEV.S(data!C:C)</f>
        <v>-0.84462222153298494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8">
        <f>(data!J163-AVERAGE(data!J:J))/_xlfn.STDEV.S(data!J:J)</f>
        <v>1.1362011770257248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1</v>
      </c>
      <c r="Q163" s="2">
        <v>0</v>
      </c>
      <c r="R163" s="2">
        <v>0</v>
      </c>
      <c r="S163" s="6" cm="1">
        <f t="array" ref="S163">$Y$2+MMULT(C163:R163,$Y$3:$Y$18)</f>
        <v>-11.73201476579405</v>
      </c>
      <c r="T163" s="7">
        <f t="shared" si="5"/>
        <v>8.0324353201186301E-6</v>
      </c>
      <c r="U163" s="3">
        <f t="shared" si="4"/>
        <v>0</v>
      </c>
    </row>
    <row r="164" spans="1:21">
      <c r="A164" s="2">
        <v>163</v>
      </c>
      <c r="B164" s="2">
        <v>0</v>
      </c>
      <c r="C164" s="8">
        <f>(data!C164-AVERAGE(data!C:C))/_xlfn.STDEV.S(data!C:C)</f>
        <v>-0.34057850222664821</v>
      </c>
      <c r="D164" s="2">
        <v>1</v>
      </c>
      <c r="E164" s="2">
        <v>0</v>
      </c>
      <c r="F164" s="2">
        <v>1</v>
      </c>
      <c r="G164" s="2">
        <v>1</v>
      </c>
      <c r="H164" s="2">
        <v>0</v>
      </c>
      <c r="I164" s="2">
        <v>0</v>
      </c>
      <c r="J164" s="8">
        <f>(data!J164-AVERAGE(data!J:J))/_xlfn.STDEV.S(data!J:J)</f>
        <v>2.9554365876391778E-2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</v>
      </c>
      <c r="Q164" s="2">
        <v>0</v>
      </c>
      <c r="R164" s="2">
        <v>0</v>
      </c>
      <c r="S164" s="6" cm="1">
        <f t="array" ref="S164">$Y$2+MMULT(C164:R164,$Y$3:$Y$18)</f>
        <v>-10.724237473166873</v>
      </c>
      <c r="T164" s="7">
        <f t="shared" si="5"/>
        <v>2.2004590264156727E-5</v>
      </c>
      <c r="U164" s="3">
        <f t="shared" si="4"/>
        <v>0</v>
      </c>
    </row>
    <row r="165" spans="1:21">
      <c r="A165" s="2">
        <v>164</v>
      </c>
      <c r="B165" s="2">
        <v>0</v>
      </c>
      <c r="C165" s="8">
        <f>(data!C165-AVERAGE(data!C:C))/_xlfn.STDEV.S(data!C:C)</f>
        <v>-1.3906695841148498</v>
      </c>
      <c r="D165" s="2">
        <v>0</v>
      </c>
      <c r="E165" s="2">
        <v>1</v>
      </c>
      <c r="F165" s="2">
        <v>1</v>
      </c>
      <c r="G165" s="2">
        <v>0</v>
      </c>
      <c r="H165" s="2">
        <v>0</v>
      </c>
      <c r="I165" s="2">
        <v>0</v>
      </c>
      <c r="J165" s="8">
        <f>(data!J165-AVERAGE(data!J:J))/_xlfn.STDEV.S(data!J:J)</f>
        <v>0.61976599848936942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 s="6" cm="1">
        <f t="array" ref="S165">$Y$2+MMULT(C165:R165,$Y$3:$Y$18)</f>
        <v>-15.957536413302458</v>
      </c>
      <c r="T165" s="7">
        <f t="shared" si="5"/>
        <v>1.1741671881336285E-7</v>
      </c>
      <c r="U165" s="3">
        <f t="shared" si="4"/>
        <v>0</v>
      </c>
    </row>
    <row r="166" spans="1:21">
      <c r="A166" s="2">
        <v>165</v>
      </c>
      <c r="B166" s="2">
        <v>0</v>
      </c>
      <c r="C166" s="8">
        <f>(data!C166-AVERAGE(data!C:C))/_xlfn.STDEV.S(data!C:C)</f>
        <v>-0.17256392912453597</v>
      </c>
      <c r="D166" s="2">
        <v>1</v>
      </c>
      <c r="E166" s="2">
        <v>0</v>
      </c>
      <c r="F166" s="2">
        <v>1</v>
      </c>
      <c r="G166" s="2">
        <v>1</v>
      </c>
      <c r="H166" s="2">
        <v>0</v>
      </c>
      <c r="I166" s="2">
        <v>0</v>
      </c>
      <c r="J166" s="8">
        <f>(data!J166-AVERAGE(data!J:J))/_xlfn.STDEV.S(data!J:J)</f>
        <v>2.9554365876391778E-2</v>
      </c>
      <c r="K166" s="2">
        <v>0</v>
      </c>
      <c r="L166" s="2">
        <v>0</v>
      </c>
      <c r="M166" s="2">
        <v>1</v>
      </c>
      <c r="N166" s="2">
        <v>1</v>
      </c>
      <c r="O166" s="2">
        <v>1</v>
      </c>
      <c r="P166" s="2">
        <v>1</v>
      </c>
      <c r="Q166" s="2">
        <v>0</v>
      </c>
      <c r="R166" s="2">
        <v>0</v>
      </c>
      <c r="S166" s="6" cm="1">
        <f t="array" ref="S166">$Y$2+MMULT(C166:R166,$Y$3:$Y$18)</f>
        <v>-6.9859305769194329</v>
      </c>
      <c r="T166" s="7">
        <f t="shared" si="5"/>
        <v>9.2394782732598598E-4</v>
      </c>
      <c r="U166" s="3">
        <f t="shared" si="4"/>
        <v>0</v>
      </c>
    </row>
    <row r="167" spans="1:21">
      <c r="A167" s="2">
        <v>166</v>
      </c>
      <c r="B167" s="2">
        <v>0</v>
      </c>
      <c r="C167" s="8">
        <f>(data!C167-AVERAGE(data!C:C))/_xlfn.STDEV.S(data!C:C)</f>
        <v>-1.4746768706659057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8">
        <f>(data!J167-AVERAGE(data!J:J))/_xlfn.STDEV.S(data!J:J)</f>
        <v>-0.48688081265996364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1</v>
      </c>
      <c r="Q167" s="2">
        <v>0</v>
      </c>
      <c r="R167" s="2">
        <v>0</v>
      </c>
      <c r="S167" s="6" cm="1">
        <f t="array" ref="S167">$Y$2+MMULT(C167:R167,$Y$3:$Y$18)</f>
        <v>-17.091223490753066</v>
      </c>
      <c r="T167" s="7">
        <f t="shared" si="5"/>
        <v>3.7789916523570523E-8</v>
      </c>
      <c r="U167" s="3">
        <f t="shared" si="4"/>
        <v>0</v>
      </c>
    </row>
    <row r="168" spans="1:21">
      <c r="A168" s="2">
        <v>167</v>
      </c>
      <c r="B168" s="2">
        <v>0</v>
      </c>
      <c r="C168" s="8">
        <f>(data!C168-AVERAGE(data!C:C))/_xlfn.STDEV.S(data!C:C)</f>
        <v>-1.3906695841148498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8">
        <f>(data!J168-AVERAGE(data!J:J))/_xlfn.STDEV.S(data!J:J)</f>
        <v>-0.92953953711969683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6" cm="1">
        <f t="array" ref="S168">$Y$2+MMULT(C168:R168,$Y$3:$Y$18)</f>
        <v>-12.972200942264141</v>
      </c>
      <c r="T168" s="7">
        <f t="shared" si="5"/>
        <v>2.3240405603525316E-6</v>
      </c>
      <c r="U168" s="3">
        <f t="shared" si="4"/>
        <v>0</v>
      </c>
    </row>
    <row r="169" spans="1:21">
      <c r="A169" s="2">
        <v>168</v>
      </c>
      <c r="B169" s="2">
        <v>0</v>
      </c>
      <c r="C169" s="8">
        <f>(data!C169-AVERAGE(data!C:C))/_xlfn.STDEV.S(data!C:C)</f>
        <v>7.9457930528632384E-2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8">
        <f>(data!J169-AVERAGE(data!J:J))/_xlfn.STDEV.S(data!J:J)</f>
        <v>0.10333081995301398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1</v>
      </c>
      <c r="Q169" s="2">
        <v>0</v>
      </c>
      <c r="R169" s="2">
        <v>0</v>
      </c>
      <c r="S169" s="6" cm="1">
        <f t="array" ref="S169">$Y$2+MMULT(C169:R169,$Y$3:$Y$18)</f>
        <v>-7.8527586527744813</v>
      </c>
      <c r="T169" s="7">
        <f t="shared" si="5"/>
        <v>3.8852724748545244E-4</v>
      </c>
      <c r="U169" s="3">
        <f t="shared" si="4"/>
        <v>0</v>
      </c>
    </row>
    <row r="170" spans="1:21">
      <c r="A170" s="2">
        <v>169</v>
      </c>
      <c r="B170" s="2">
        <v>0</v>
      </c>
      <c r="C170" s="8">
        <f>(data!C170-AVERAGE(data!C:C))/_xlfn.STDEV.S(data!C:C)</f>
        <v>0.79351986621260939</v>
      </c>
      <c r="D170" s="2">
        <v>0</v>
      </c>
      <c r="E170" s="2">
        <v>1</v>
      </c>
      <c r="F170" s="2">
        <v>1</v>
      </c>
      <c r="G170" s="2">
        <v>1</v>
      </c>
      <c r="H170" s="2">
        <v>0</v>
      </c>
      <c r="I170" s="2">
        <v>0</v>
      </c>
      <c r="J170" s="8">
        <f>(data!J170-AVERAGE(data!J:J))/_xlfn.STDEV.S(data!J:J)</f>
        <v>1.4313069933322136</v>
      </c>
      <c r="K170" s="2">
        <v>0</v>
      </c>
      <c r="L170" s="2">
        <v>0</v>
      </c>
      <c r="M170" s="2">
        <v>1</v>
      </c>
      <c r="N170" s="2">
        <v>1</v>
      </c>
      <c r="O170" s="2">
        <v>1</v>
      </c>
      <c r="P170" s="2">
        <v>1</v>
      </c>
      <c r="Q170" s="2">
        <v>0</v>
      </c>
      <c r="R170" s="2">
        <v>0</v>
      </c>
      <c r="S170" s="6" cm="1">
        <f t="array" ref="S170">$Y$2+MMULT(C170:R170,$Y$3:$Y$18)</f>
        <v>-0.69967428466185977</v>
      </c>
      <c r="T170" s="7">
        <f t="shared" si="5"/>
        <v>0.3318844470709566</v>
      </c>
      <c r="U170" s="3">
        <f t="shared" si="4"/>
        <v>0</v>
      </c>
    </row>
    <row r="171" spans="1:21">
      <c r="A171" s="2">
        <v>170</v>
      </c>
      <c r="B171" s="2">
        <v>0</v>
      </c>
      <c r="C171" s="8">
        <f>(data!C171-AVERAGE(data!C:C))/_xlfn.STDEV.S(data!C:C)</f>
        <v>-1.3066622975637936</v>
      </c>
      <c r="D171" s="2">
        <v>1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8">
        <f>(data!J171-AVERAGE(data!J:J))/_xlfn.STDEV.S(data!J:J)</f>
        <v>-4.4222088200230422E-2</v>
      </c>
      <c r="K171" s="2">
        <v>0</v>
      </c>
      <c r="L171" s="2">
        <v>1</v>
      </c>
      <c r="M171" s="2">
        <v>0</v>
      </c>
      <c r="N171" s="2">
        <v>1</v>
      </c>
      <c r="O171" s="2">
        <v>1</v>
      </c>
      <c r="P171" s="2">
        <v>1</v>
      </c>
      <c r="Q171" s="2">
        <v>1</v>
      </c>
      <c r="R171" s="2">
        <v>0</v>
      </c>
      <c r="S171" s="6" cm="1">
        <f t="array" ref="S171">$Y$2+MMULT(C171:R171,$Y$3:$Y$18)</f>
        <v>-13.794349907997997</v>
      </c>
      <c r="T171" s="7">
        <f t="shared" si="5"/>
        <v>1.0213850808759017E-6</v>
      </c>
      <c r="U171" s="3">
        <f t="shared" si="4"/>
        <v>0</v>
      </c>
    </row>
    <row r="172" spans="1:21">
      <c r="A172" s="2">
        <v>171</v>
      </c>
      <c r="B172" s="2">
        <v>0</v>
      </c>
      <c r="C172" s="8">
        <f>(data!C172-AVERAGE(data!C:C))/_xlfn.STDEV.S(data!C:C)</f>
        <v>-1.1386477244616813</v>
      </c>
      <c r="D172" s="2">
        <v>1</v>
      </c>
      <c r="E172" s="2">
        <v>0</v>
      </c>
      <c r="F172" s="2">
        <v>1</v>
      </c>
      <c r="G172" s="2">
        <v>0</v>
      </c>
      <c r="H172" s="2">
        <v>0</v>
      </c>
      <c r="I172" s="2">
        <v>0</v>
      </c>
      <c r="J172" s="8">
        <f>(data!J172-AVERAGE(data!J:J))/_xlfn.STDEV.S(data!J:J)</f>
        <v>1.5050834474088357</v>
      </c>
      <c r="K172" s="2">
        <v>0</v>
      </c>
      <c r="L172" s="2">
        <v>0</v>
      </c>
      <c r="M172" s="2">
        <v>0</v>
      </c>
      <c r="N172" s="2">
        <v>1</v>
      </c>
      <c r="O172" s="2">
        <v>1</v>
      </c>
      <c r="P172" s="2">
        <v>1</v>
      </c>
      <c r="Q172" s="2">
        <v>1</v>
      </c>
      <c r="R172" s="2">
        <v>0</v>
      </c>
      <c r="S172" s="6" cm="1">
        <f t="array" ref="S172">$Y$2+MMULT(C172:R172,$Y$3:$Y$18)</f>
        <v>-11.639634048503318</v>
      </c>
      <c r="T172" s="7">
        <f t="shared" si="5"/>
        <v>8.8098260892151692E-6</v>
      </c>
      <c r="U172" s="3">
        <f t="shared" si="4"/>
        <v>0</v>
      </c>
    </row>
    <row r="173" spans="1:21">
      <c r="A173" s="2">
        <v>172</v>
      </c>
      <c r="B173" s="2">
        <v>0</v>
      </c>
      <c r="C173" s="8">
        <f>(data!C173-AVERAGE(data!C:C))/_xlfn.STDEV.S(data!C:C)</f>
        <v>0.91953079603919352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8">
        <f>(data!J173-AVERAGE(data!J:J))/_xlfn.STDEV.S(data!J:J)</f>
        <v>0.54598954441274716</v>
      </c>
      <c r="K173" s="2">
        <v>0</v>
      </c>
      <c r="L173" s="2">
        <v>1</v>
      </c>
      <c r="M173" s="2">
        <v>0</v>
      </c>
      <c r="N173" s="2">
        <v>1</v>
      </c>
      <c r="O173" s="2">
        <v>1</v>
      </c>
      <c r="P173" s="2">
        <v>1</v>
      </c>
      <c r="Q173" s="2">
        <v>0</v>
      </c>
      <c r="R173" s="2">
        <v>0</v>
      </c>
      <c r="S173" s="6" cm="1">
        <f t="array" ref="S173">$Y$2+MMULT(C173:R173,$Y$3:$Y$18)</f>
        <v>-1.3431139369299028</v>
      </c>
      <c r="T173" s="7">
        <f t="shared" si="5"/>
        <v>0.20699843916464639</v>
      </c>
      <c r="U173" s="3">
        <f t="shared" si="4"/>
        <v>0</v>
      </c>
    </row>
    <row r="174" spans="1:21">
      <c r="A174" s="2">
        <v>173</v>
      </c>
      <c r="B174" s="2">
        <v>0</v>
      </c>
      <c r="C174" s="8">
        <f>(data!C174-AVERAGE(data!C:C))/_xlfn.STDEV.S(data!C:C)</f>
        <v>-1.4746768706659057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8">
        <f>(data!J174-AVERAGE(data!J:J))/_xlfn.STDEV.S(data!J:J)</f>
        <v>-4.4222088200230422E-2</v>
      </c>
      <c r="K174" s="2">
        <v>0</v>
      </c>
      <c r="L174" s="2">
        <v>1</v>
      </c>
      <c r="M174" s="2">
        <v>0</v>
      </c>
      <c r="N174" s="2">
        <v>1</v>
      </c>
      <c r="O174" s="2">
        <v>1</v>
      </c>
      <c r="P174" s="2">
        <v>1</v>
      </c>
      <c r="Q174" s="2">
        <v>1</v>
      </c>
      <c r="R174" s="2">
        <v>0</v>
      </c>
      <c r="S174" s="6" cm="1">
        <f t="array" ref="S174">$Y$2+MMULT(C174:R174,$Y$3:$Y$18)</f>
        <v>-14.795722545752742</v>
      </c>
      <c r="T174" s="7">
        <f t="shared" si="5"/>
        <v>3.7523140511532986E-7</v>
      </c>
      <c r="U174" s="3">
        <f t="shared" si="4"/>
        <v>0</v>
      </c>
    </row>
    <row r="175" spans="1:21">
      <c r="A175" s="2">
        <v>174</v>
      </c>
      <c r="B175" s="2">
        <v>0</v>
      </c>
      <c r="C175" s="8">
        <f>(data!C175-AVERAGE(data!C:C))/_xlfn.STDEV.S(data!C:C)</f>
        <v>-4.6552999297951793E-2</v>
      </c>
      <c r="D175" s="2">
        <v>1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8">
        <f>(data!J175-AVERAGE(data!J:J))/_xlfn.STDEV.S(data!J:J)</f>
        <v>0.69354245256599156</v>
      </c>
      <c r="K175" s="2">
        <v>1</v>
      </c>
      <c r="L175" s="2">
        <v>0</v>
      </c>
      <c r="M175" s="2">
        <v>0</v>
      </c>
      <c r="N175" s="2">
        <v>1</v>
      </c>
      <c r="O175" s="2">
        <v>1</v>
      </c>
      <c r="P175" s="2">
        <v>1</v>
      </c>
      <c r="Q175" s="2">
        <v>0</v>
      </c>
      <c r="R175" s="2">
        <v>0</v>
      </c>
      <c r="S175" s="6" cm="1">
        <f t="array" ref="S175">$Y$2+MMULT(C175:R175,$Y$3:$Y$18)</f>
        <v>-5.8812962193631204</v>
      </c>
      <c r="T175" s="7">
        <f t="shared" si="5"/>
        <v>2.7833960495679431E-3</v>
      </c>
      <c r="U175" s="3">
        <f t="shared" si="4"/>
        <v>0</v>
      </c>
    </row>
    <row r="176" spans="1:21">
      <c r="A176" s="2">
        <v>175</v>
      </c>
      <c r="B176" s="2">
        <v>0</v>
      </c>
      <c r="C176" s="8">
        <f>(data!C176-AVERAGE(data!C:C))/_xlfn.STDEV.S(data!C:C)</f>
        <v>0.54149800655944103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8">
        <f>(data!J176-AVERAGE(data!J:J))/_xlfn.STDEV.S(data!J:J)</f>
        <v>-0.19177499635347484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 s="6" cm="1">
        <f t="array" ref="S176">$Y$2+MMULT(C176:R176,$Y$3:$Y$18)</f>
        <v>-4.437610350422629</v>
      </c>
      <c r="T176" s="7">
        <f t="shared" si="5"/>
        <v>1.16859834435013E-2</v>
      </c>
      <c r="U176" s="3">
        <f t="shared" si="4"/>
        <v>0</v>
      </c>
    </row>
    <row r="177" spans="1:21">
      <c r="A177" s="2">
        <v>176</v>
      </c>
      <c r="B177" s="2">
        <v>0</v>
      </c>
      <c r="C177" s="8">
        <f>(data!C177-AVERAGE(data!C:C))/_xlfn.STDEV.S(data!C:C)</f>
        <v>-0.29857485895112013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8">
        <f>(data!J177-AVERAGE(data!J:J))/_xlfn.STDEV.S(data!J:J)</f>
        <v>-0.48688081265996364</v>
      </c>
      <c r="K177" s="2">
        <v>0</v>
      </c>
      <c r="L177" s="2">
        <v>1</v>
      </c>
      <c r="M177" s="2">
        <v>0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 s="6" cm="1">
        <f t="array" ref="S177">$Y$2+MMULT(C177:R177,$Y$3:$Y$18)</f>
        <v>-7.4992116568413287</v>
      </c>
      <c r="T177" s="7">
        <f t="shared" si="5"/>
        <v>5.5321434682283446E-4</v>
      </c>
      <c r="U177" s="3">
        <f t="shared" si="4"/>
        <v>0</v>
      </c>
    </row>
    <row r="178" spans="1:21">
      <c r="A178" s="2">
        <v>177</v>
      </c>
      <c r="B178" s="2">
        <v>0</v>
      </c>
      <c r="C178" s="8">
        <f>(data!C178-AVERAGE(data!C:C))/_xlfn.STDEV.S(data!C:C)</f>
        <v>-1.4326732273903777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1</v>
      </c>
      <c r="J178" s="8">
        <f>(data!J178-AVERAGE(data!J:J))/_xlfn.STDEV.S(data!J:J)</f>
        <v>-0.19177499635347484</v>
      </c>
      <c r="K178" s="2">
        <v>0</v>
      </c>
      <c r="L178" s="2">
        <v>1</v>
      </c>
      <c r="M178" s="2">
        <v>0</v>
      </c>
      <c r="N178" s="2">
        <v>1</v>
      </c>
      <c r="O178" s="2">
        <v>0</v>
      </c>
      <c r="P178" s="2">
        <v>0</v>
      </c>
      <c r="Q178" s="2">
        <v>0</v>
      </c>
      <c r="R178" s="2">
        <v>0</v>
      </c>
      <c r="S178" s="6" cm="1">
        <f t="array" ref="S178">$Y$2+MMULT(C178:R178,$Y$3:$Y$18)</f>
        <v>-13.059131238604099</v>
      </c>
      <c r="T178" s="7">
        <f t="shared" si="5"/>
        <v>2.1305436647390339E-6</v>
      </c>
      <c r="U178" s="3">
        <f t="shared" si="4"/>
        <v>0</v>
      </c>
    </row>
    <row r="179" spans="1:21">
      <c r="A179" s="2">
        <v>178</v>
      </c>
      <c r="B179" s="2">
        <v>0</v>
      </c>
      <c r="C179" s="8">
        <f>(data!C179-AVERAGE(data!C:C))/_xlfn.STDEV.S(data!C:C)</f>
        <v>-8.8556642573479852E-2</v>
      </c>
      <c r="D179" s="2">
        <v>0</v>
      </c>
      <c r="E179" s="2">
        <v>0</v>
      </c>
      <c r="F179" s="2">
        <v>1</v>
      </c>
      <c r="G179" s="2">
        <v>1</v>
      </c>
      <c r="H179" s="2">
        <v>0</v>
      </c>
      <c r="I179" s="2">
        <v>0</v>
      </c>
      <c r="J179" s="8">
        <f>(data!J179-AVERAGE(data!J:J))/_xlfn.STDEV.S(data!J:J)</f>
        <v>0.47221309033612496</v>
      </c>
      <c r="K179" s="2">
        <v>0</v>
      </c>
      <c r="L179" s="2">
        <v>0</v>
      </c>
      <c r="M179" s="2">
        <v>0</v>
      </c>
      <c r="N179" s="2">
        <v>1</v>
      </c>
      <c r="O179" s="2">
        <v>1</v>
      </c>
      <c r="P179" s="2">
        <v>1</v>
      </c>
      <c r="Q179" s="2">
        <v>0</v>
      </c>
      <c r="R179" s="2">
        <v>0</v>
      </c>
      <c r="S179" s="6" cm="1">
        <f t="array" ref="S179">$Y$2+MMULT(C179:R179,$Y$3:$Y$18)</f>
        <v>-7.8985703081188765</v>
      </c>
      <c r="T179" s="7">
        <f t="shared" si="5"/>
        <v>3.7113617537218383E-4</v>
      </c>
      <c r="U179" s="3">
        <f t="shared" si="4"/>
        <v>0</v>
      </c>
    </row>
    <row r="180" spans="1:21">
      <c r="A180" s="2">
        <v>179</v>
      </c>
      <c r="B180" s="2">
        <v>0</v>
      </c>
      <c r="C180" s="8">
        <f>(data!C180-AVERAGE(data!C:C))/_xlfn.STDEV.S(data!C:C)</f>
        <v>-0.67660764843087262</v>
      </c>
      <c r="D180" s="2">
        <v>1</v>
      </c>
      <c r="E180" s="2">
        <v>1</v>
      </c>
      <c r="F180" s="2">
        <v>0</v>
      </c>
      <c r="G180" s="2">
        <v>0</v>
      </c>
      <c r="H180" s="2">
        <v>1</v>
      </c>
      <c r="I180" s="2">
        <v>0</v>
      </c>
      <c r="J180" s="8">
        <f>(data!J180-AVERAGE(data!J:J))/_xlfn.STDEV.S(data!J:J)</f>
        <v>-0.26555145043009704</v>
      </c>
      <c r="K180" s="2">
        <v>0</v>
      </c>
      <c r="L180" s="2">
        <v>0</v>
      </c>
      <c r="M180" s="2">
        <v>1</v>
      </c>
      <c r="N180" s="2">
        <v>1</v>
      </c>
      <c r="O180" s="2">
        <v>1</v>
      </c>
      <c r="P180" s="2">
        <v>1</v>
      </c>
      <c r="Q180" s="2">
        <v>0</v>
      </c>
      <c r="R180" s="2">
        <v>0</v>
      </c>
      <c r="S180" s="6" cm="1">
        <f t="array" ref="S180">$Y$2+MMULT(C180:R180,$Y$3:$Y$18)</f>
        <v>-11.806246541516874</v>
      </c>
      <c r="T180" s="7">
        <f t="shared" si="5"/>
        <v>7.4577708705810193E-6</v>
      </c>
      <c r="U180" s="3">
        <f t="shared" si="4"/>
        <v>0</v>
      </c>
    </row>
    <row r="181" spans="1:21">
      <c r="A181" s="2">
        <v>180</v>
      </c>
      <c r="B181" s="2">
        <v>0</v>
      </c>
      <c r="C181" s="8">
        <f>(data!C181-AVERAGE(data!C:C))/_xlfn.STDEV.S(data!C:C)</f>
        <v>-0.46658943205323239</v>
      </c>
      <c r="D181" s="2">
        <v>1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8">
        <f>(data!J181-AVERAGE(data!J:J))/_xlfn.STDEV.S(data!J:J)</f>
        <v>0.98864826887248036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1</v>
      </c>
      <c r="Q181" s="2">
        <v>0</v>
      </c>
      <c r="R181" s="2">
        <v>0</v>
      </c>
      <c r="S181" s="6" cm="1">
        <f t="array" ref="S181">$Y$2+MMULT(C181:R181,$Y$3:$Y$18)</f>
        <v>-9.5664537227847894</v>
      </c>
      <c r="T181" s="7">
        <f t="shared" si="5"/>
        <v>7.0034417396564686E-5</v>
      </c>
      <c r="U181" s="3">
        <f t="shared" si="4"/>
        <v>0</v>
      </c>
    </row>
    <row r="182" spans="1:21">
      <c r="A182" s="2">
        <v>181</v>
      </c>
      <c r="B182" s="2">
        <v>0</v>
      </c>
      <c r="C182" s="8">
        <f>(data!C182-AVERAGE(data!C:C))/_xlfn.STDEV.S(data!C:C)</f>
        <v>-0.42458578877770431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8">
        <f>(data!J182-AVERAGE(data!J:J))/_xlfn.STDEV.S(data!J:J)</f>
        <v>0.91487181479585822</v>
      </c>
      <c r="K182" s="2">
        <v>0</v>
      </c>
      <c r="L182" s="2">
        <v>0</v>
      </c>
      <c r="M182" s="2">
        <v>0</v>
      </c>
      <c r="N182" s="2">
        <v>1</v>
      </c>
      <c r="O182" s="2">
        <v>1</v>
      </c>
      <c r="P182" s="2">
        <v>1</v>
      </c>
      <c r="Q182" s="2">
        <v>0</v>
      </c>
      <c r="R182" s="2">
        <v>0</v>
      </c>
      <c r="S182" s="6" cm="1">
        <f t="array" ref="S182">$Y$2+MMULT(C182:R182,$Y$3:$Y$18)</f>
        <v>-8.2988482267164372</v>
      </c>
      <c r="T182" s="7">
        <f t="shared" si="5"/>
        <v>2.4874133940422675E-4</v>
      </c>
      <c r="U182" s="3">
        <f t="shared" si="4"/>
        <v>0</v>
      </c>
    </row>
    <row r="183" spans="1:21">
      <c r="A183" s="2">
        <v>182</v>
      </c>
      <c r="B183" s="2">
        <v>0</v>
      </c>
      <c r="C183" s="8">
        <f>(data!C183-AVERAGE(data!C:C))/_xlfn.STDEV.S(data!C:C)</f>
        <v>0.54149800655944103</v>
      </c>
      <c r="D183" s="2">
        <v>0</v>
      </c>
      <c r="E183" s="2">
        <v>0</v>
      </c>
      <c r="F183" s="2">
        <v>1</v>
      </c>
      <c r="G183" s="2">
        <v>1</v>
      </c>
      <c r="H183" s="2">
        <v>0</v>
      </c>
      <c r="I183" s="2">
        <v>0</v>
      </c>
      <c r="J183" s="8">
        <f>(data!J183-AVERAGE(data!J:J))/_xlfn.STDEV.S(data!J:J)</f>
        <v>-0.63443372081320804</v>
      </c>
      <c r="K183" s="2">
        <v>0</v>
      </c>
      <c r="L183" s="2">
        <v>0</v>
      </c>
      <c r="M183" s="2">
        <v>1</v>
      </c>
      <c r="N183" s="2">
        <v>1</v>
      </c>
      <c r="O183" s="2">
        <v>0</v>
      </c>
      <c r="P183" s="2">
        <v>1</v>
      </c>
      <c r="Q183" s="2">
        <v>0</v>
      </c>
      <c r="R183" s="2">
        <v>0</v>
      </c>
      <c r="S183" s="6" cm="1">
        <f t="array" ref="S183">$Y$2+MMULT(C183:R183,$Y$3:$Y$18)</f>
        <v>-5.0054295034916141</v>
      </c>
      <c r="T183" s="7">
        <f t="shared" si="5"/>
        <v>6.6568517863696761E-3</v>
      </c>
      <c r="U183" s="3">
        <f t="shared" si="4"/>
        <v>0</v>
      </c>
    </row>
    <row r="184" spans="1:21">
      <c r="A184" s="2">
        <v>183</v>
      </c>
      <c r="B184" s="2">
        <v>1</v>
      </c>
      <c r="C184" s="8">
        <f>(data!C184-AVERAGE(data!C:C))/_xlfn.STDEV.S(data!C:C)</f>
        <v>1.6755963749986986</v>
      </c>
      <c r="D184" s="2">
        <v>1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8">
        <f>(data!J184-AVERAGE(data!J:J))/_xlfn.STDEV.S(data!J:J)</f>
        <v>2.9068360748646578</v>
      </c>
      <c r="K184" s="2">
        <v>0</v>
      </c>
      <c r="L184" s="2">
        <v>0</v>
      </c>
      <c r="M184" s="2">
        <v>1</v>
      </c>
      <c r="N184" s="2">
        <v>0</v>
      </c>
      <c r="O184" s="2">
        <v>1</v>
      </c>
      <c r="P184" s="2">
        <v>1</v>
      </c>
      <c r="Q184" s="2">
        <v>0</v>
      </c>
      <c r="R184" s="2">
        <v>0</v>
      </c>
      <c r="S184" s="6" cm="1">
        <f t="array" ref="S184">$Y$2+MMULT(C184:R184,$Y$3:$Y$18)</f>
        <v>4.68086929672892</v>
      </c>
      <c r="T184" s="7">
        <f t="shared" si="5"/>
        <v>0.99081420983651769</v>
      </c>
      <c r="U184" s="3">
        <f t="shared" si="4"/>
        <v>1</v>
      </c>
    </row>
    <row r="185" spans="1:21">
      <c r="A185" s="2">
        <v>184</v>
      </c>
      <c r="B185" s="2">
        <v>1</v>
      </c>
      <c r="C185" s="8">
        <f>(data!C185-AVERAGE(data!C:C))/_xlfn.STDEV.S(data!C:C)</f>
        <v>0.9615344393147216</v>
      </c>
      <c r="D185" s="2">
        <v>1</v>
      </c>
      <c r="E185" s="2">
        <v>1</v>
      </c>
      <c r="F185" s="2">
        <v>1</v>
      </c>
      <c r="G185" s="2">
        <v>0</v>
      </c>
      <c r="H185" s="2">
        <v>0</v>
      </c>
      <c r="I185" s="2">
        <v>0</v>
      </c>
      <c r="J185" s="8">
        <f>(data!J185-AVERAGE(data!J:J))/_xlfn.STDEV.S(data!J:J)</f>
        <v>-0.70821017488983018</v>
      </c>
      <c r="K185" s="2">
        <v>1</v>
      </c>
      <c r="L185" s="2">
        <v>0</v>
      </c>
      <c r="M185" s="2">
        <v>1</v>
      </c>
      <c r="N185" s="2">
        <v>1</v>
      </c>
      <c r="O185" s="2">
        <v>1</v>
      </c>
      <c r="P185" s="2">
        <v>1</v>
      </c>
      <c r="Q185" s="2">
        <v>0</v>
      </c>
      <c r="R185" s="2">
        <v>1</v>
      </c>
      <c r="S185" s="6" cm="1">
        <f t="array" ref="S185">$Y$2+MMULT(C185:R185,$Y$3:$Y$18)</f>
        <v>0.40938068129343286</v>
      </c>
      <c r="T185" s="7">
        <f t="shared" si="5"/>
        <v>0.60093936854765762</v>
      </c>
      <c r="U185" s="3">
        <f t="shared" si="4"/>
        <v>1</v>
      </c>
    </row>
    <row r="186" spans="1:21">
      <c r="A186" s="2">
        <v>185</v>
      </c>
      <c r="B186" s="2">
        <v>0</v>
      </c>
      <c r="C186" s="8">
        <f>(data!C186-AVERAGE(data!C:C))/_xlfn.STDEV.S(data!C:C)</f>
        <v>-1.4326732273903777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8">
        <f>(data!J186-AVERAGE(data!J:J))/_xlfn.STDEV.S(data!J:J)</f>
        <v>-1.1508688993495635</v>
      </c>
      <c r="K186" s="2">
        <v>0</v>
      </c>
      <c r="L186" s="2">
        <v>0</v>
      </c>
      <c r="M186" s="2">
        <v>0</v>
      </c>
      <c r="N186" s="2">
        <v>1</v>
      </c>
      <c r="O186" s="2">
        <v>1</v>
      </c>
      <c r="P186" s="2">
        <v>1</v>
      </c>
      <c r="Q186" s="2">
        <v>0</v>
      </c>
      <c r="R186" s="2">
        <v>0</v>
      </c>
      <c r="S186" s="6" cm="1">
        <f t="array" ref="S186">$Y$2+MMULT(C186:R186,$Y$3:$Y$18)</f>
        <v>-15.532467540389762</v>
      </c>
      <c r="T186" s="7">
        <f t="shared" si="5"/>
        <v>1.7961184700008911E-7</v>
      </c>
      <c r="U186" s="3">
        <f t="shared" si="4"/>
        <v>0</v>
      </c>
    </row>
    <row r="187" spans="1:21">
      <c r="A187" s="2">
        <v>186</v>
      </c>
      <c r="B187" s="2">
        <v>0</v>
      </c>
      <c r="C187" s="8">
        <f>(data!C187-AVERAGE(data!C:C))/_xlfn.STDEV.S(data!C:C)</f>
        <v>-1.4746768706659057</v>
      </c>
      <c r="D187" s="2">
        <v>1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8">
        <f>(data!J187-AVERAGE(data!J:J))/_xlfn.STDEV.S(data!J:J)</f>
        <v>-0.26555145043009704</v>
      </c>
      <c r="K187" s="2">
        <v>0</v>
      </c>
      <c r="L187" s="2">
        <v>1</v>
      </c>
      <c r="M187" s="2">
        <v>0</v>
      </c>
      <c r="N187" s="2">
        <v>1</v>
      </c>
      <c r="O187" s="2">
        <v>1</v>
      </c>
      <c r="P187" s="2">
        <v>1</v>
      </c>
      <c r="Q187" s="2">
        <v>0</v>
      </c>
      <c r="R187" s="2">
        <v>0</v>
      </c>
      <c r="S187" s="6" cm="1">
        <f t="array" ref="S187">$Y$2+MMULT(C187:R187,$Y$3:$Y$18)</f>
        <v>-15.914901361944107</v>
      </c>
      <c r="T187" s="7">
        <f t="shared" si="5"/>
        <v>1.225310359354779E-7</v>
      </c>
      <c r="U187" s="3">
        <f t="shared" si="4"/>
        <v>0</v>
      </c>
    </row>
    <row r="188" spans="1:21">
      <c r="A188" s="2">
        <v>187</v>
      </c>
      <c r="B188" s="2">
        <v>1</v>
      </c>
      <c r="C188" s="8">
        <f>(data!C188-AVERAGE(data!C:C))/_xlfn.STDEV.S(data!C:C)</f>
        <v>1.3395672287944742</v>
      </c>
      <c r="D188" s="2">
        <v>1</v>
      </c>
      <c r="E188" s="2">
        <v>1</v>
      </c>
      <c r="F188" s="2">
        <v>0</v>
      </c>
      <c r="G188" s="2">
        <v>0</v>
      </c>
      <c r="H188" s="2">
        <v>0</v>
      </c>
      <c r="I188" s="2">
        <v>0</v>
      </c>
      <c r="J188" s="8">
        <f>(data!J188-AVERAGE(data!J:J))/_xlfn.STDEV.S(data!J:J)</f>
        <v>0.39843663625950276</v>
      </c>
      <c r="K188" s="2">
        <v>1</v>
      </c>
      <c r="L188" s="2">
        <v>0</v>
      </c>
      <c r="M188" s="2">
        <v>1</v>
      </c>
      <c r="N188" s="2">
        <v>1</v>
      </c>
      <c r="O188" s="2">
        <v>1</v>
      </c>
      <c r="P188" s="2">
        <v>1</v>
      </c>
      <c r="Q188" s="2">
        <v>0</v>
      </c>
      <c r="R188" s="2">
        <v>0</v>
      </c>
      <c r="S188" s="6" cm="1">
        <f t="array" ref="S188">$Y$2+MMULT(C188:R188,$Y$3:$Y$18)</f>
        <v>3.7017081654742956</v>
      </c>
      <c r="T188" s="7">
        <f t="shared" si="5"/>
        <v>0.97591316450601306</v>
      </c>
      <c r="U188" s="3">
        <f t="shared" si="4"/>
        <v>1</v>
      </c>
    </row>
    <row r="189" spans="1:21">
      <c r="A189" s="2">
        <v>188</v>
      </c>
      <c r="B189" s="2">
        <v>0</v>
      </c>
      <c r="C189" s="8">
        <f>(data!C189-AVERAGE(data!C:C))/_xlfn.STDEV.S(data!C:C)</f>
        <v>-1.1806513677372095</v>
      </c>
      <c r="D189" s="2">
        <v>1</v>
      </c>
      <c r="E189" s="2">
        <v>0</v>
      </c>
      <c r="F189" s="2">
        <v>1</v>
      </c>
      <c r="G189" s="2">
        <v>0</v>
      </c>
      <c r="H189" s="2">
        <v>0</v>
      </c>
      <c r="I189" s="2">
        <v>0</v>
      </c>
      <c r="J189" s="8">
        <f>(data!J189-AVERAGE(data!J:J))/_xlfn.STDEV.S(data!J:J)</f>
        <v>-1.003315991196319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  <c r="P189" s="2">
        <v>1</v>
      </c>
      <c r="Q189" s="2">
        <v>0</v>
      </c>
      <c r="R189" s="2">
        <v>0</v>
      </c>
      <c r="S189" s="6" cm="1">
        <f t="array" ref="S189">$Y$2+MMULT(C189:R189,$Y$3:$Y$18)</f>
        <v>-13.903743895790946</v>
      </c>
      <c r="T189" s="7">
        <f t="shared" si="5"/>
        <v>9.1554638177272271E-7</v>
      </c>
      <c r="U189" s="3">
        <f t="shared" si="4"/>
        <v>0</v>
      </c>
    </row>
    <row r="190" spans="1:21">
      <c r="A190" s="2">
        <v>189</v>
      </c>
      <c r="B190" s="2">
        <v>0</v>
      </c>
      <c r="C190" s="8">
        <f>(data!C190-AVERAGE(data!C:C))/_xlfn.STDEV.S(data!C:C)</f>
        <v>-1.1806513677372095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8">
        <f>(data!J190-AVERAGE(data!J:J))/_xlfn.STDEV.S(data!J:J)</f>
        <v>-0.11799854227685262</v>
      </c>
      <c r="K190" s="2">
        <v>0</v>
      </c>
      <c r="L190" s="2">
        <v>0</v>
      </c>
      <c r="M190" s="2">
        <v>0</v>
      </c>
      <c r="N190" s="2">
        <v>1</v>
      </c>
      <c r="O190" s="2">
        <v>1</v>
      </c>
      <c r="P190" s="2">
        <v>1</v>
      </c>
      <c r="Q190" s="2">
        <v>0</v>
      </c>
      <c r="R190" s="2">
        <v>1</v>
      </c>
      <c r="S190" s="6" cm="1">
        <f t="array" ref="S190">$Y$2+MMULT(C190:R190,$Y$3:$Y$18)</f>
        <v>-13.019204405198204</v>
      </c>
      <c r="T190" s="7">
        <f t="shared" si="5"/>
        <v>2.2173303682521524E-6</v>
      </c>
      <c r="U190" s="3">
        <f t="shared" si="4"/>
        <v>0</v>
      </c>
    </row>
    <row r="191" spans="1:21">
      <c r="A191" s="2">
        <v>190</v>
      </c>
      <c r="B191" s="2">
        <v>1</v>
      </c>
      <c r="C191" s="8">
        <f>(data!C191-AVERAGE(data!C:C))/_xlfn.STDEV.S(data!C:C)</f>
        <v>1.6755963749986986</v>
      </c>
      <c r="D191" s="2">
        <v>0</v>
      </c>
      <c r="E191" s="2">
        <v>1</v>
      </c>
      <c r="F191" s="2">
        <v>1</v>
      </c>
      <c r="G191" s="2">
        <v>0</v>
      </c>
      <c r="H191" s="2">
        <v>0</v>
      </c>
      <c r="I191" s="2">
        <v>0</v>
      </c>
      <c r="J191" s="8">
        <f>(data!J191-AVERAGE(data!J:J))/_xlfn.STDEV.S(data!J:J)</f>
        <v>-0.92953953711969683</v>
      </c>
      <c r="K191" s="2">
        <v>1</v>
      </c>
      <c r="L191" s="2">
        <v>0</v>
      </c>
      <c r="M191" s="2">
        <v>1</v>
      </c>
      <c r="N191" s="2">
        <v>1</v>
      </c>
      <c r="O191" s="2">
        <v>1</v>
      </c>
      <c r="P191" s="2">
        <v>1</v>
      </c>
      <c r="Q191" s="2">
        <v>0</v>
      </c>
      <c r="R191" s="2">
        <v>1</v>
      </c>
      <c r="S191" s="6" cm="1">
        <f t="array" ref="S191">$Y$2+MMULT(C191:R191,$Y$3:$Y$18)</f>
        <v>4.3547499851877536</v>
      </c>
      <c r="T191" s="7">
        <f t="shared" si="5"/>
        <v>0.9873172671712197</v>
      </c>
      <c r="U191" s="3">
        <f t="shared" si="4"/>
        <v>1</v>
      </c>
    </row>
    <row r="192" spans="1:21">
      <c r="A192" s="2">
        <v>191</v>
      </c>
      <c r="B192" s="2">
        <v>0</v>
      </c>
      <c r="C192" s="8">
        <f>(data!C192-AVERAGE(data!C:C))/_xlfn.STDEV.S(data!C:C)</f>
        <v>0.75151622293708131</v>
      </c>
      <c r="D192" s="2">
        <v>1</v>
      </c>
      <c r="E192" s="2">
        <v>1</v>
      </c>
      <c r="F192" s="2">
        <v>0</v>
      </c>
      <c r="G192" s="2">
        <v>0</v>
      </c>
      <c r="H192" s="2">
        <v>0</v>
      </c>
      <c r="I192" s="2">
        <v>0</v>
      </c>
      <c r="J192" s="8">
        <f>(data!J192-AVERAGE(data!J:J))/_xlfn.STDEV.S(data!J:J)</f>
        <v>-4.4222088200230422E-2</v>
      </c>
      <c r="K192" s="2">
        <v>1</v>
      </c>
      <c r="L192" s="2">
        <v>0</v>
      </c>
      <c r="M192" s="2">
        <v>1</v>
      </c>
      <c r="N192" s="2">
        <v>1</v>
      </c>
      <c r="O192" s="2">
        <v>1</v>
      </c>
      <c r="P192" s="2">
        <v>1</v>
      </c>
      <c r="Q192" s="2">
        <v>0</v>
      </c>
      <c r="R192" s="2">
        <v>0</v>
      </c>
      <c r="S192" s="6" cm="1">
        <f t="array" ref="S192">$Y$2+MMULT(C192:R192,$Y$3:$Y$18)</f>
        <v>-6.5678242484066729E-2</v>
      </c>
      <c r="T192" s="7">
        <f t="shared" si="5"/>
        <v>0.48358633916192234</v>
      </c>
      <c r="U192" s="3">
        <f t="shared" si="4"/>
        <v>0</v>
      </c>
    </row>
    <row r="193" spans="1:21">
      <c r="A193" s="2">
        <v>192</v>
      </c>
      <c r="B193" s="2">
        <v>0</v>
      </c>
      <c r="C193" s="8">
        <f>(data!C193-AVERAGE(data!C:C))/_xlfn.STDEV.S(data!C:C)</f>
        <v>-1.0966440811861533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8">
        <f>(data!J193-AVERAGE(data!J:J))/_xlfn.STDEV.S(data!J:J)</f>
        <v>-0.33932790450671924</v>
      </c>
      <c r="K193" s="2">
        <v>0</v>
      </c>
      <c r="L193" s="2">
        <v>0</v>
      </c>
      <c r="M193" s="2">
        <v>0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  <c r="S193" s="6" cm="1">
        <f t="array" ref="S193">$Y$2+MMULT(C193:R193,$Y$3:$Y$18)</f>
        <v>-11.152602643178344</v>
      </c>
      <c r="T193" s="7">
        <f t="shared" si="5"/>
        <v>1.4337716419188205E-5</v>
      </c>
      <c r="U193" s="3">
        <f t="shared" si="4"/>
        <v>0</v>
      </c>
    </row>
    <row r="194" spans="1:21">
      <c r="A194" s="2">
        <v>193</v>
      </c>
      <c r="B194" s="2">
        <v>0</v>
      </c>
      <c r="C194" s="8">
        <f>(data!C194-AVERAGE(data!C:C))/_xlfn.STDEV.S(data!C:C)</f>
        <v>0.37348343345732876</v>
      </c>
      <c r="D194" s="2">
        <v>1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8">
        <f>(data!J194-AVERAGE(data!J:J))/_xlfn.STDEV.S(data!J:J)</f>
        <v>-0.78198662896645244</v>
      </c>
      <c r="K194" s="2">
        <v>0</v>
      </c>
      <c r="L194" s="2">
        <v>0</v>
      </c>
      <c r="M194" s="2">
        <v>0</v>
      </c>
      <c r="N194" s="2">
        <v>1</v>
      </c>
      <c r="O194" s="2">
        <v>1</v>
      </c>
      <c r="P194" s="2">
        <v>1</v>
      </c>
      <c r="Q194" s="2">
        <v>0</v>
      </c>
      <c r="R194" s="2">
        <v>0</v>
      </c>
      <c r="S194" s="6" cm="1">
        <f t="array" ref="S194">$Y$2+MMULT(C194:R194,$Y$3:$Y$18)</f>
        <v>-5.107482341096313</v>
      </c>
      <c r="T194" s="7">
        <f t="shared" si="5"/>
        <v>6.0149009047224637E-3</v>
      </c>
      <c r="U194" s="3">
        <f t="shared" ref="U194:U257" si="6">IF(T194&gt;=cut,1,0)</f>
        <v>0</v>
      </c>
    </row>
    <row r="195" spans="1:21">
      <c r="A195" s="2">
        <v>194</v>
      </c>
      <c r="B195" s="2">
        <v>1</v>
      </c>
      <c r="C195" s="8">
        <f>(data!C195-AVERAGE(data!C:C))/_xlfn.STDEV.S(data!C:C)</f>
        <v>1.6755963749986986</v>
      </c>
      <c r="D195" s="2">
        <v>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8">
        <f>(data!J195-AVERAGE(data!J:J))/_xlfn.STDEV.S(data!J:J)</f>
        <v>-1.0770924452729411</v>
      </c>
      <c r="K195" s="2">
        <v>0</v>
      </c>
      <c r="L195" s="2">
        <v>0</v>
      </c>
      <c r="M195" s="2">
        <v>0</v>
      </c>
      <c r="N195" s="2">
        <v>0</v>
      </c>
      <c r="O195" s="2">
        <v>1</v>
      </c>
      <c r="P195" s="2">
        <v>1</v>
      </c>
      <c r="Q195" s="2">
        <v>0</v>
      </c>
      <c r="R195" s="2">
        <v>0</v>
      </c>
      <c r="S195" s="6" cm="1">
        <f t="array" ref="S195">$Y$2+MMULT(C195:R195,$Y$3:$Y$18)</f>
        <v>3.6779499760931174</v>
      </c>
      <c r="T195" s="7">
        <f t="shared" ref="T195:T258" si="7">EXP(S195)/(1+EXP(S195))</f>
        <v>0.97534832889474921</v>
      </c>
      <c r="U195" s="3">
        <f t="shared" si="6"/>
        <v>1</v>
      </c>
    </row>
    <row r="196" spans="1:21">
      <c r="A196" s="2">
        <v>195</v>
      </c>
      <c r="B196" s="2">
        <v>0</v>
      </c>
      <c r="C196" s="8">
        <f>(data!C196-AVERAGE(data!C:C))/_xlfn.STDEV.S(data!C:C)</f>
        <v>3.7454287253104325E-2</v>
      </c>
      <c r="D196" s="2">
        <v>0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8">
        <f>(data!J196-AVERAGE(data!J:J))/_xlfn.STDEV.S(data!J:J)</f>
        <v>1.4313069933322136</v>
      </c>
      <c r="K196" s="2">
        <v>1</v>
      </c>
      <c r="L196" s="2">
        <v>0</v>
      </c>
      <c r="M196" s="2">
        <v>1</v>
      </c>
      <c r="N196" s="2">
        <v>1</v>
      </c>
      <c r="O196" s="2">
        <v>1</v>
      </c>
      <c r="P196" s="2">
        <v>1</v>
      </c>
      <c r="Q196" s="2">
        <v>0</v>
      </c>
      <c r="R196" s="2">
        <v>0</v>
      </c>
      <c r="S196" s="6" cm="1">
        <f t="array" ref="S196">$Y$2+MMULT(C196:R196,$Y$3:$Y$18)</f>
        <v>-3.62541135220753</v>
      </c>
      <c r="T196" s="7">
        <f t="shared" si="7"/>
        <v>2.5946958772133134E-2</v>
      </c>
      <c r="U196" s="3">
        <f t="shared" si="6"/>
        <v>0</v>
      </c>
    </row>
    <row r="197" spans="1:21">
      <c r="A197" s="2">
        <v>196</v>
      </c>
      <c r="B197" s="2">
        <v>0</v>
      </c>
      <c r="C197" s="8">
        <f>(data!C197-AVERAGE(data!C:C))/_xlfn.STDEV.S(data!C:C)</f>
        <v>-1.3486659408393216</v>
      </c>
      <c r="D197" s="2">
        <v>0</v>
      </c>
      <c r="E197" s="2">
        <v>0</v>
      </c>
      <c r="F197" s="2">
        <v>1</v>
      </c>
      <c r="G197" s="2">
        <v>0</v>
      </c>
      <c r="H197" s="2">
        <v>0</v>
      </c>
      <c r="I197" s="2">
        <v>0</v>
      </c>
      <c r="J197" s="8">
        <f>(data!J197-AVERAGE(data!J:J))/_xlfn.STDEV.S(data!J:J)</f>
        <v>3.3494947993243906</v>
      </c>
      <c r="K197" s="2">
        <v>0</v>
      </c>
      <c r="L197" s="2">
        <v>0</v>
      </c>
      <c r="M197" s="2">
        <v>0</v>
      </c>
      <c r="N197" s="2">
        <v>0</v>
      </c>
      <c r="O197" s="2">
        <v>1</v>
      </c>
      <c r="P197" s="2">
        <v>1</v>
      </c>
      <c r="Q197" s="2">
        <v>0</v>
      </c>
      <c r="R197" s="2">
        <v>0</v>
      </c>
      <c r="S197" s="6" cm="1">
        <f t="array" ref="S197">$Y$2+MMULT(C197:R197,$Y$3:$Y$18)</f>
        <v>-12.502231790002584</v>
      </c>
      <c r="T197" s="7">
        <f t="shared" si="7"/>
        <v>3.7183315128633527E-6</v>
      </c>
      <c r="U197" s="3">
        <f t="shared" si="6"/>
        <v>0</v>
      </c>
    </row>
    <row r="198" spans="1:21">
      <c r="A198" s="2">
        <v>197</v>
      </c>
      <c r="B198" s="2">
        <v>0</v>
      </c>
      <c r="C198" s="8">
        <f>(data!C198-AVERAGE(data!C:C))/_xlfn.STDEV.S(data!C:C)</f>
        <v>-0.34057850222664821</v>
      </c>
      <c r="D198" s="2">
        <v>1</v>
      </c>
      <c r="E198" s="2">
        <v>0</v>
      </c>
      <c r="F198" s="2">
        <v>0</v>
      </c>
      <c r="G198" s="2">
        <v>1</v>
      </c>
      <c r="H198" s="2">
        <v>0</v>
      </c>
      <c r="I198" s="2">
        <v>0</v>
      </c>
      <c r="J198" s="8">
        <f>(data!J198-AVERAGE(data!J:J))/_xlfn.STDEV.S(data!J:J)</f>
        <v>2.9806125289412799</v>
      </c>
      <c r="K198" s="2">
        <v>0</v>
      </c>
      <c r="L198" s="2">
        <v>0</v>
      </c>
      <c r="M198" s="2">
        <v>1</v>
      </c>
      <c r="N198" s="2">
        <v>1</v>
      </c>
      <c r="O198" s="2">
        <v>1</v>
      </c>
      <c r="P198" s="2">
        <v>1</v>
      </c>
      <c r="Q198" s="2">
        <v>0</v>
      </c>
      <c r="R198" s="2">
        <v>0</v>
      </c>
      <c r="S198" s="6" cm="1">
        <f t="array" ref="S198">$Y$2+MMULT(C198:R198,$Y$3:$Y$18)</f>
        <v>-5.6346326498729766</v>
      </c>
      <c r="T198" s="7">
        <f t="shared" si="7"/>
        <v>3.5592754695025846E-3</v>
      </c>
      <c r="U198" s="3">
        <f t="shared" si="6"/>
        <v>0</v>
      </c>
    </row>
    <row r="199" spans="1:21">
      <c r="A199" s="2">
        <v>198</v>
      </c>
      <c r="B199" s="2">
        <v>0</v>
      </c>
      <c r="C199" s="8">
        <f>(data!C199-AVERAGE(data!C:C))/_xlfn.STDEV.S(data!C:C)</f>
        <v>-1.1386477244616813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8">
        <f>(data!J199-AVERAGE(data!J:J))/_xlfn.STDEV.S(data!J:J)</f>
        <v>-0.11799854227685262</v>
      </c>
      <c r="K199" s="2">
        <v>0</v>
      </c>
      <c r="L199" s="2">
        <v>1</v>
      </c>
      <c r="M199" s="2">
        <v>0</v>
      </c>
      <c r="N199" s="2">
        <v>1</v>
      </c>
      <c r="O199" s="2">
        <v>1</v>
      </c>
      <c r="P199" s="2">
        <v>1</v>
      </c>
      <c r="Q199" s="2">
        <v>0</v>
      </c>
      <c r="R199" s="2">
        <v>0</v>
      </c>
      <c r="S199" s="6" cm="1">
        <f t="array" ref="S199">$Y$2+MMULT(C199:R199,$Y$3:$Y$18)</f>
        <v>-13.824628694495697</v>
      </c>
      <c r="T199" s="7">
        <f t="shared" si="7"/>
        <v>9.9092232568733304E-7</v>
      </c>
      <c r="U199" s="3">
        <f t="shared" si="6"/>
        <v>0</v>
      </c>
    </row>
    <row r="200" spans="1:21">
      <c r="A200" s="2">
        <v>199</v>
      </c>
      <c r="B200" s="2">
        <v>0</v>
      </c>
      <c r="C200" s="8">
        <f>(data!C200-AVERAGE(data!C:C))/_xlfn.STDEV.S(data!C:C)</f>
        <v>0.70951257966155323</v>
      </c>
      <c r="D200" s="2">
        <v>1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8">
        <f>(data!J200-AVERAGE(data!J:J))/_xlfn.STDEV.S(data!J:J)</f>
        <v>0.25088372810625836</v>
      </c>
      <c r="K200" s="2">
        <v>0</v>
      </c>
      <c r="L200" s="2">
        <v>0</v>
      </c>
      <c r="M200" s="2">
        <v>1</v>
      </c>
      <c r="N200" s="2">
        <v>1</v>
      </c>
      <c r="O200" s="2">
        <v>1</v>
      </c>
      <c r="P200" s="2">
        <v>0</v>
      </c>
      <c r="Q200" s="2">
        <v>0</v>
      </c>
      <c r="R200" s="2">
        <v>0</v>
      </c>
      <c r="S200" s="6" cm="1">
        <f t="array" ref="S200">$Y$2+MMULT(C200:R200,$Y$3:$Y$18)</f>
        <v>3.0373104627322274</v>
      </c>
      <c r="T200" s="7">
        <f t="shared" si="7"/>
        <v>0.95423151047374877</v>
      </c>
      <c r="U200" s="3">
        <f t="shared" si="6"/>
        <v>1</v>
      </c>
    </row>
    <row r="201" spans="1:21">
      <c r="A201" s="2">
        <v>200</v>
      </c>
      <c r="B201" s="2">
        <v>0</v>
      </c>
      <c r="C201" s="8">
        <f>(data!C201-AVERAGE(data!C:C))/_xlfn.STDEV.S(data!C:C)</f>
        <v>-4.6552999297951793E-2</v>
      </c>
      <c r="D201" s="2">
        <v>0</v>
      </c>
      <c r="E201" s="2">
        <v>1</v>
      </c>
      <c r="F201" s="2">
        <v>0</v>
      </c>
      <c r="G201" s="2">
        <v>1</v>
      </c>
      <c r="H201" s="2">
        <v>0</v>
      </c>
      <c r="I201" s="2">
        <v>0</v>
      </c>
      <c r="J201" s="8">
        <f>(data!J201-AVERAGE(data!J:J))/_xlfn.STDEV.S(data!J:J)</f>
        <v>0.69354245256599156</v>
      </c>
      <c r="K201" s="2">
        <v>0</v>
      </c>
      <c r="L201" s="2">
        <v>1</v>
      </c>
      <c r="M201" s="2">
        <v>0</v>
      </c>
      <c r="N201" s="2">
        <v>1</v>
      </c>
      <c r="O201" s="2">
        <v>1</v>
      </c>
      <c r="P201" s="2">
        <v>1</v>
      </c>
      <c r="Q201" s="2">
        <v>0</v>
      </c>
      <c r="R201" s="2">
        <v>0</v>
      </c>
      <c r="S201" s="6" cm="1">
        <f t="array" ref="S201">$Y$2+MMULT(C201:R201,$Y$3:$Y$18)</f>
        <v>-7.8752149467500718</v>
      </c>
      <c r="T201" s="7">
        <f t="shared" si="7"/>
        <v>3.7990287811853307E-4</v>
      </c>
      <c r="U201" s="3">
        <f t="shared" si="6"/>
        <v>0</v>
      </c>
    </row>
    <row r="202" spans="1:21">
      <c r="A202" s="2">
        <v>201</v>
      </c>
      <c r="B202" s="2">
        <v>0</v>
      </c>
      <c r="C202" s="8">
        <f>(data!C202-AVERAGE(data!C:C))/_xlfn.STDEV.S(data!C:C)</f>
        <v>-1.0546404379106251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8">
        <f>(data!J202-AVERAGE(data!J:J))/_xlfn.STDEV.S(data!J:J)</f>
        <v>-0.26555145043009704</v>
      </c>
      <c r="K202" s="2">
        <v>0</v>
      </c>
      <c r="L202" s="2">
        <v>1</v>
      </c>
      <c r="M202" s="2">
        <v>0</v>
      </c>
      <c r="N202" s="2">
        <v>1</v>
      </c>
      <c r="O202" s="2">
        <v>0</v>
      </c>
      <c r="P202" s="2">
        <v>1</v>
      </c>
      <c r="Q202" s="2">
        <v>0</v>
      </c>
      <c r="R202" s="2">
        <v>0</v>
      </c>
      <c r="S202" s="6" cm="1">
        <f t="array" ref="S202">$Y$2+MMULT(C202:R202,$Y$3:$Y$18)</f>
        <v>-15.113755822206992</v>
      </c>
      <c r="T202" s="7">
        <f t="shared" si="7"/>
        <v>2.730103596030835E-7</v>
      </c>
      <c r="U202" s="3">
        <f t="shared" si="6"/>
        <v>0</v>
      </c>
    </row>
    <row r="203" spans="1:21">
      <c r="A203" s="2">
        <v>202</v>
      </c>
      <c r="B203" s="2">
        <v>0</v>
      </c>
      <c r="C203" s="8">
        <f>(data!C203-AVERAGE(data!C:C))/_xlfn.STDEV.S(data!C:C)</f>
        <v>-0.13056028584900792</v>
      </c>
      <c r="D203" s="2">
        <v>0</v>
      </c>
      <c r="E203" s="2">
        <v>0</v>
      </c>
      <c r="F203" s="2">
        <v>0</v>
      </c>
      <c r="G203" s="2">
        <v>1</v>
      </c>
      <c r="H203" s="2">
        <v>0</v>
      </c>
      <c r="I203" s="2">
        <v>0</v>
      </c>
      <c r="J203" s="8">
        <f>(data!J203-AVERAGE(data!J:J))/_xlfn.STDEV.S(data!J:J)</f>
        <v>-0.41310435858334144</v>
      </c>
      <c r="K203" s="2">
        <v>0</v>
      </c>
      <c r="L203" s="2">
        <v>0</v>
      </c>
      <c r="M203" s="2">
        <v>0</v>
      </c>
      <c r="N203" s="2">
        <v>0</v>
      </c>
      <c r="O203" s="2">
        <v>1</v>
      </c>
      <c r="P203" s="2">
        <v>1</v>
      </c>
      <c r="Q203" s="2">
        <v>0</v>
      </c>
      <c r="R203" s="2">
        <v>0</v>
      </c>
      <c r="S203" s="6" cm="1">
        <f t="array" ref="S203">$Y$2+MMULT(C203:R203,$Y$3:$Y$18)</f>
        <v>-7.6098683897725738</v>
      </c>
      <c r="T203" s="7">
        <f t="shared" si="7"/>
        <v>4.952916365653353E-4</v>
      </c>
      <c r="U203" s="3">
        <f t="shared" si="6"/>
        <v>0</v>
      </c>
    </row>
    <row r="204" spans="1:21">
      <c r="A204" s="2">
        <v>203</v>
      </c>
      <c r="B204" s="2">
        <v>0</v>
      </c>
      <c r="C204" s="8">
        <f>(data!C204-AVERAGE(data!C:C))/_xlfn.STDEV.S(data!C:C)</f>
        <v>-0.80261857825745686</v>
      </c>
      <c r="D204" s="2">
        <v>1</v>
      </c>
      <c r="E204" s="2">
        <v>0</v>
      </c>
      <c r="F204" s="2">
        <v>0</v>
      </c>
      <c r="G204" s="2">
        <v>1</v>
      </c>
      <c r="H204" s="2">
        <v>0</v>
      </c>
      <c r="I204" s="2">
        <v>0</v>
      </c>
      <c r="J204" s="8">
        <f>(data!J204-AVERAGE(data!J:J))/_xlfn.STDEV.S(data!J:J)</f>
        <v>-1.2984218075028078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0</v>
      </c>
      <c r="R204" s="2">
        <v>0</v>
      </c>
      <c r="S204" s="6" cm="1">
        <f t="array" ref="S204">$Y$2+MMULT(C204:R204,$Y$3:$Y$18)</f>
        <v>-13.423081407164334</v>
      </c>
      <c r="T204" s="7">
        <f t="shared" si="7"/>
        <v>1.4805707720618054E-6</v>
      </c>
      <c r="U204" s="3">
        <f t="shared" si="6"/>
        <v>0</v>
      </c>
    </row>
    <row r="205" spans="1:21">
      <c r="A205" s="2">
        <v>204</v>
      </c>
      <c r="B205" s="2">
        <v>0</v>
      </c>
      <c r="C205" s="8">
        <f>(data!C205-AVERAGE(data!C:C))/_xlfn.STDEV.S(data!C:C)</f>
        <v>-0.59260036187981657</v>
      </c>
      <c r="D205" s="2">
        <v>1</v>
      </c>
      <c r="E205" s="2">
        <v>0</v>
      </c>
      <c r="F205" s="2">
        <v>1</v>
      </c>
      <c r="G205" s="2">
        <v>1</v>
      </c>
      <c r="H205" s="2">
        <v>0</v>
      </c>
      <c r="I205" s="2">
        <v>0</v>
      </c>
      <c r="J205" s="8">
        <f>(data!J205-AVERAGE(data!J:J))/_xlfn.STDEV.S(data!J:J)</f>
        <v>-1.0770924452729411</v>
      </c>
      <c r="K205" s="2">
        <v>0</v>
      </c>
      <c r="L205" s="2">
        <v>0</v>
      </c>
      <c r="M205" s="2">
        <v>0</v>
      </c>
      <c r="N205" s="2">
        <v>0</v>
      </c>
      <c r="O205" s="2">
        <v>1</v>
      </c>
      <c r="P205" s="2">
        <v>1</v>
      </c>
      <c r="Q205" s="2">
        <v>0</v>
      </c>
      <c r="R205" s="2">
        <v>0</v>
      </c>
      <c r="S205" s="6" cm="1">
        <f t="array" ref="S205">$Y$2+MMULT(C205:R205,$Y$3:$Y$18)</f>
        <v>-11.180465814691129</v>
      </c>
      <c r="T205" s="7">
        <f t="shared" si="7"/>
        <v>1.3943741915908436E-5</v>
      </c>
      <c r="U205" s="3">
        <f t="shared" si="6"/>
        <v>0</v>
      </c>
    </row>
    <row r="206" spans="1:21">
      <c r="A206" s="2">
        <v>205</v>
      </c>
      <c r="B206" s="2">
        <v>0</v>
      </c>
      <c r="C206" s="8">
        <f>(data!C206-AVERAGE(data!C:C))/_xlfn.STDEV.S(data!C:C)</f>
        <v>0.5835016498349691</v>
      </c>
      <c r="D206" s="2">
        <v>1</v>
      </c>
      <c r="E206" s="2">
        <v>0</v>
      </c>
      <c r="F206" s="2">
        <v>1</v>
      </c>
      <c r="G206" s="2">
        <v>1</v>
      </c>
      <c r="H206" s="2">
        <v>0</v>
      </c>
      <c r="I206" s="2">
        <v>0</v>
      </c>
      <c r="J206" s="8">
        <f>(data!J206-AVERAGE(data!J:J))/_xlfn.STDEV.S(data!J:J)</f>
        <v>-1.2984218075028078</v>
      </c>
      <c r="K206" s="2">
        <v>0</v>
      </c>
      <c r="L206" s="2">
        <v>0</v>
      </c>
      <c r="M206" s="2">
        <v>0</v>
      </c>
      <c r="N206" s="2">
        <v>1</v>
      </c>
      <c r="O206" s="2">
        <v>1</v>
      </c>
      <c r="P206" s="2">
        <v>1</v>
      </c>
      <c r="Q206" s="2">
        <v>0</v>
      </c>
      <c r="R206" s="2">
        <v>0</v>
      </c>
      <c r="S206" s="6" cm="1">
        <f t="array" ref="S206">$Y$2+MMULT(C206:R206,$Y$3:$Y$18)</f>
        <v>-4.7642351417119357</v>
      </c>
      <c r="T206" s="7">
        <f t="shared" si="7"/>
        <v>8.4572739843413909E-3</v>
      </c>
      <c r="U206" s="3">
        <f t="shared" si="6"/>
        <v>0</v>
      </c>
    </row>
    <row r="207" spans="1:21">
      <c r="A207" s="2">
        <v>206</v>
      </c>
      <c r="B207" s="2">
        <v>1</v>
      </c>
      <c r="C207" s="8">
        <f>(data!C207-AVERAGE(data!C:C))/_xlfn.STDEV.S(data!C:C)</f>
        <v>1.6755963749986986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8">
        <f>(data!J207-AVERAGE(data!J:J))/_xlfn.STDEV.S(data!J:J)</f>
        <v>-1.2246453534261856</v>
      </c>
      <c r="K207" s="2">
        <v>0</v>
      </c>
      <c r="L207" s="2">
        <v>1</v>
      </c>
      <c r="M207" s="2">
        <v>1</v>
      </c>
      <c r="N207" s="2">
        <v>1</v>
      </c>
      <c r="O207" s="2">
        <v>1</v>
      </c>
      <c r="P207" s="2">
        <v>0</v>
      </c>
      <c r="Q207" s="2">
        <v>0</v>
      </c>
      <c r="R207" s="2">
        <v>1</v>
      </c>
      <c r="S207" s="6" cm="1">
        <f t="array" ref="S207">$Y$2+MMULT(C207:R207,$Y$3:$Y$18)</f>
        <v>7.2476399553027342</v>
      </c>
      <c r="T207" s="7">
        <f t="shared" si="7"/>
        <v>0.99928865396192412</v>
      </c>
      <c r="U207" s="3">
        <f t="shared" si="6"/>
        <v>1</v>
      </c>
    </row>
    <row r="208" spans="1:21">
      <c r="A208" s="2">
        <v>207</v>
      </c>
      <c r="B208" s="2">
        <v>0</v>
      </c>
      <c r="C208" s="8">
        <f>(data!C208-AVERAGE(data!C:C))/_xlfn.STDEV.S(data!C:C)</f>
        <v>-0.34057850222664821</v>
      </c>
      <c r="D208" s="2">
        <v>0</v>
      </c>
      <c r="E208" s="2">
        <v>0</v>
      </c>
      <c r="F208" s="2">
        <v>1</v>
      </c>
      <c r="G208" s="2">
        <v>1</v>
      </c>
      <c r="H208" s="2">
        <v>0</v>
      </c>
      <c r="I208" s="2">
        <v>0</v>
      </c>
      <c r="J208" s="8">
        <f>(data!J208-AVERAGE(data!J:J))/_xlfn.STDEV.S(data!J:J)</f>
        <v>-1.1508688993495635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 s="6" cm="1">
        <f t="array" ref="S208">$Y$2+MMULT(C208:R208,$Y$3:$Y$18)</f>
        <v>-9.9013438726834391</v>
      </c>
      <c r="T208" s="7">
        <f t="shared" si="7"/>
        <v>5.0104788343244011E-5</v>
      </c>
      <c r="U208" s="3">
        <f t="shared" si="6"/>
        <v>0</v>
      </c>
    </row>
    <row r="209" spans="1:21">
      <c r="A209" s="2">
        <v>208</v>
      </c>
      <c r="B209" s="2">
        <v>0</v>
      </c>
      <c r="C209" s="8">
        <f>(data!C209-AVERAGE(data!C:C))/_xlfn.STDEV.S(data!C:C)</f>
        <v>-1.0966440811861533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1</v>
      </c>
      <c r="J209" s="8">
        <f>(data!J209-AVERAGE(data!J:J))/_xlfn.STDEV.S(data!J:J)</f>
        <v>-1.0770924452729411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6" cm="1">
        <f t="array" ref="S209">$Y$2+MMULT(C209:R209,$Y$3:$Y$18)</f>
        <v>-10.462208597583297</v>
      </c>
      <c r="T209" s="7">
        <f t="shared" si="7"/>
        <v>2.8596186328744818E-5</v>
      </c>
      <c r="U209" s="3">
        <f t="shared" si="6"/>
        <v>0</v>
      </c>
    </row>
    <row r="210" spans="1:21">
      <c r="A210" s="2">
        <v>209</v>
      </c>
      <c r="B210" s="2">
        <v>0</v>
      </c>
      <c r="C210" s="8">
        <f>(data!C210-AVERAGE(data!C:C))/_xlfn.STDEV.S(data!C:C)</f>
        <v>-1.0966440811861533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8">
        <f>(data!J210-AVERAGE(data!J:J))/_xlfn.STDEV.S(data!J:J)</f>
        <v>-0.92953953711969683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6" cm="1">
        <f t="array" ref="S210">$Y$2+MMULT(C210:R210,$Y$3:$Y$18)</f>
        <v>-11.219798826193335</v>
      </c>
      <c r="T210" s="7">
        <f t="shared" si="7"/>
        <v>1.3405945810369651E-5</v>
      </c>
      <c r="U210" s="3">
        <f t="shared" si="6"/>
        <v>0</v>
      </c>
    </row>
    <row r="211" spans="1:21">
      <c r="A211" s="2">
        <v>210</v>
      </c>
      <c r="B211" s="2">
        <v>1</v>
      </c>
      <c r="C211" s="8">
        <f>(data!C211-AVERAGE(data!C:C))/_xlfn.STDEV.S(data!C:C)</f>
        <v>0.5835016498349691</v>
      </c>
      <c r="D211" s="2">
        <v>1</v>
      </c>
      <c r="E211" s="2">
        <v>1</v>
      </c>
      <c r="F211" s="2">
        <v>0</v>
      </c>
      <c r="G211" s="2">
        <v>0</v>
      </c>
      <c r="H211" s="2">
        <v>0</v>
      </c>
      <c r="I211" s="2">
        <v>0</v>
      </c>
      <c r="J211" s="8">
        <f>(data!J211-AVERAGE(data!J:J))/_xlfn.STDEV.S(data!J:J)</f>
        <v>0.54598954441274716</v>
      </c>
      <c r="K211" s="2">
        <v>1</v>
      </c>
      <c r="L211" s="2">
        <v>1</v>
      </c>
      <c r="M211" s="2">
        <v>1</v>
      </c>
      <c r="N211" s="2">
        <v>1</v>
      </c>
      <c r="O211" s="2">
        <v>0</v>
      </c>
      <c r="P211" s="2">
        <v>1</v>
      </c>
      <c r="Q211" s="2">
        <v>0</v>
      </c>
      <c r="R211" s="2">
        <v>0</v>
      </c>
      <c r="S211" s="6" cm="1">
        <f t="array" ref="S211">$Y$2+MMULT(C211:R211,$Y$3:$Y$18)</f>
        <v>-3.2556556995370287</v>
      </c>
      <c r="T211" s="7">
        <f t="shared" si="7"/>
        <v>3.7124188701112878E-2</v>
      </c>
      <c r="U211" s="3">
        <f t="shared" si="6"/>
        <v>0</v>
      </c>
    </row>
    <row r="212" spans="1:21">
      <c r="A212" s="2">
        <v>211</v>
      </c>
      <c r="B212" s="2">
        <v>0</v>
      </c>
      <c r="C212" s="8">
        <f>(data!C212-AVERAGE(data!C:C))/_xlfn.STDEV.S(data!C:C)</f>
        <v>0.54149800655944103</v>
      </c>
      <c r="D212" s="2">
        <v>1</v>
      </c>
      <c r="E212" s="2">
        <v>0</v>
      </c>
      <c r="F212" s="2">
        <v>0</v>
      </c>
      <c r="G212" s="2">
        <v>1</v>
      </c>
      <c r="H212" s="2">
        <v>0</v>
      </c>
      <c r="I212" s="2">
        <v>0</v>
      </c>
      <c r="J212" s="8">
        <f>(data!J212-AVERAGE(data!J:J))/_xlfn.STDEV.S(data!J:J)</f>
        <v>-0.92953953711969683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1</v>
      </c>
      <c r="Q212" s="2">
        <v>0</v>
      </c>
      <c r="R212" s="2">
        <v>0</v>
      </c>
      <c r="S212" s="6" cm="1">
        <f t="array" ref="S212">$Y$2+MMULT(C212:R212,$Y$3:$Y$18)</f>
        <v>-6.2702647789387198</v>
      </c>
      <c r="T212" s="7">
        <f t="shared" si="7"/>
        <v>1.8881557508596133E-3</v>
      </c>
      <c r="U212" s="3">
        <f t="shared" si="6"/>
        <v>0</v>
      </c>
    </row>
    <row r="213" spans="1:21">
      <c r="A213" s="2">
        <v>212</v>
      </c>
      <c r="B213" s="2">
        <v>1</v>
      </c>
      <c r="C213" s="8">
        <f>(data!C213-AVERAGE(data!C:C))/_xlfn.STDEV.S(data!C:C)</f>
        <v>1.0875453691413057</v>
      </c>
      <c r="D213" s="2">
        <v>1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8">
        <f>(data!J213-AVERAGE(data!J:J))/_xlfn.STDEV.S(data!J:J)</f>
        <v>0.32466018218288056</v>
      </c>
      <c r="K213" s="2">
        <v>0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>
        <v>0</v>
      </c>
      <c r="R213" s="2">
        <v>0</v>
      </c>
      <c r="S213" s="6" cm="1">
        <f t="array" ref="S213">$Y$2+MMULT(C213:R213,$Y$3:$Y$18)</f>
        <v>1.0789025592130717</v>
      </c>
      <c r="T213" s="7">
        <f t="shared" si="7"/>
        <v>0.74628624668265753</v>
      </c>
      <c r="U213" s="3">
        <f t="shared" si="6"/>
        <v>1</v>
      </c>
    </row>
    <row r="214" spans="1:21">
      <c r="A214" s="2">
        <v>213</v>
      </c>
      <c r="B214" s="2">
        <v>0</v>
      </c>
      <c r="C214" s="8">
        <f>(data!C214-AVERAGE(data!C:C))/_xlfn.STDEV.S(data!C:C)</f>
        <v>-0.84462222153298494</v>
      </c>
      <c r="D214" s="2">
        <v>0</v>
      </c>
      <c r="E214" s="2">
        <v>1</v>
      </c>
      <c r="F214" s="2">
        <v>0</v>
      </c>
      <c r="G214" s="2">
        <v>0</v>
      </c>
      <c r="H214" s="2">
        <v>1</v>
      </c>
      <c r="I214" s="2">
        <v>0</v>
      </c>
      <c r="J214" s="8">
        <f>(data!J214-AVERAGE(data!J:J))/_xlfn.STDEV.S(data!J:J)</f>
        <v>0.17710727402963619</v>
      </c>
      <c r="K214" s="2">
        <v>0</v>
      </c>
      <c r="L214" s="2">
        <v>0</v>
      </c>
      <c r="M214" s="2">
        <v>1</v>
      </c>
      <c r="N214" s="2">
        <v>1</v>
      </c>
      <c r="O214" s="2">
        <v>1</v>
      </c>
      <c r="P214" s="2">
        <v>1</v>
      </c>
      <c r="Q214" s="2">
        <v>0</v>
      </c>
      <c r="R214" s="2">
        <v>0</v>
      </c>
      <c r="S214" s="6" cm="1">
        <f t="array" ref="S214">$Y$2+MMULT(C214:R214,$Y$3:$Y$18)</f>
        <v>-12.724210322109837</v>
      </c>
      <c r="T214" s="7">
        <f t="shared" si="7"/>
        <v>2.9781349763024299E-6</v>
      </c>
      <c r="U214" s="3">
        <f t="shared" si="6"/>
        <v>0</v>
      </c>
    </row>
    <row r="215" spans="1:21">
      <c r="A215" s="2">
        <v>214</v>
      </c>
      <c r="B215" s="2">
        <v>0</v>
      </c>
      <c r="C215" s="8">
        <f>(data!C215-AVERAGE(data!C:C))/_xlfn.STDEV.S(data!C:C)</f>
        <v>-0.17256392912453597</v>
      </c>
      <c r="D215" s="2">
        <v>1</v>
      </c>
      <c r="E215" s="2">
        <v>1</v>
      </c>
      <c r="F215" s="2">
        <v>1</v>
      </c>
      <c r="G215" s="2">
        <v>0</v>
      </c>
      <c r="H215" s="2">
        <v>0</v>
      </c>
      <c r="I215" s="2">
        <v>1</v>
      </c>
      <c r="J215" s="8">
        <f>(data!J215-AVERAGE(data!J:J))/_xlfn.STDEV.S(data!J:J)</f>
        <v>-0.11799854227685262</v>
      </c>
      <c r="K215" s="2">
        <v>1</v>
      </c>
      <c r="L215" s="2">
        <v>0</v>
      </c>
      <c r="M215" s="2">
        <v>1</v>
      </c>
      <c r="N215" s="2">
        <v>1</v>
      </c>
      <c r="O215" s="2">
        <v>1</v>
      </c>
      <c r="P215" s="2">
        <v>1</v>
      </c>
      <c r="Q215" s="2">
        <v>0</v>
      </c>
      <c r="R215" s="2">
        <v>0</v>
      </c>
      <c r="S215" s="6" cm="1">
        <f t="array" ref="S215">$Y$2+MMULT(C215:R215,$Y$3:$Y$18)</f>
        <v>-5.3739965515785162</v>
      </c>
      <c r="T215" s="7">
        <f t="shared" si="7"/>
        <v>4.6141786153400489E-3</v>
      </c>
      <c r="U215" s="3">
        <f t="shared" si="6"/>
        <v>0</v>
      </c>
    </row>
    <row r="216" spans="1:21">
      <c r="A216" s="2">
        <v>215</v>
      </c>
      <c r="B216" s="2">
        <v>0</v>
      </c>
      <c r="C216" s="8">
        <f>(data!C216-AVERAGE(data!C:C))/_xlfn.STDEV.S(data!C:C)</f>
        <v>-0.17256392912453597</v>
      </c>
      <c r="D216" s="2">
        <v>1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8">
        <f>(data!J216-AVERAGE(data!J:J))/_xlfn.STDEV.S(data!J:J)</f>
        <v>-0.19177499635347484</v>
      </c>
      <c r="K216" s="2">
        <v>0</v>
      </c>
      <c r="L216" s="2">
        <v>0</v>
      </c>
      <c r="M216" s="2">
        <v>0</v>
      </c>
      <c r="N216" s="2">
        <v>1</v>
      </c>
      <c r="O216" s="2">
        <v>1</v>
      </c>
      <c r="P216" s="2">
        <v>1</v>
      </c>
      <c r="Q216" s="2">
        <v>0</v>
      </c>
      <c r="R216" s="2">
        <v>0</v>
      </c>
      <c r="S216" s="6" cm="1">
        <f t="array" ref="S216">$Y$2+MMULT(C216:R216,$Y$3:$Y$18)</f>
        <v>-7.2740713909712316</v>
      </c>
      <c r="T216" s="7">
        <f t="shared" si="7"/>
        <v>6.9280330213070042E-4</v>
      </c>
      <c r="U216" s="3">
        <f t="shared" si="6"/>
        <v>0</v>
      </c>
    </row>
    <row r="217" spans="1:21">
      <c r="A217" s="2">
        <v>216</v>
      </c>
      <c r="B217" s="2">
        <v>0</v>
      </c>
      <c r="C217" s="8">
        <f>(data!C217-AVERAGE(data!C:C))/_xlfn.STDEV.S(data!C:C)</f>
        <v>-1.0966440811861533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8">
        <f>(data!J217-AVERAGE(data!J:J))/_xlfn.STDEV.S(data!J:J)</f>
        <v>0.25088372810625836</v>
      </c>
      <c r="K217" s="2">
        <v>0</v>
      </c>
      <c r="L217" s="2">
        <v>0</v>
      </c>
      <c r="M217" s="2">
        <v>0</v>
      </c>
      <c r="N217" s="2">
        <v>1</v>
      </c>
      <c r="O217" s="2">
        <v>1</v>
      </c>
      <c r="P217" s="2">
        <v>1</v>
      </c>
      <c r="Q217" s="2">
        <v>0</v>
      </c>
      <c r="R217" s="2">
        <v>0</v>
      </c>
      <c r="S217" s="6" cm="1">
        <f t="array" ref="S217">$Y$2+MMULT(C217:R217,$Y$3:$Y$18)</f>
        <v>-12.519038722805579</v>
      </c>
      <c r="T217" s="7">
        <f t="shared" si="7"/>
        <v>3.6563602258761373E-6</v>
      </c>
      <c r="U217" s="3">
        <f t="shared" si="6"/>
        <v>0</v>
      </c>
    </row>
    <row r="218" spans="1:21">
      <c r="A218" s="2">
        <v>217</v>
      </c>
      <c r="B218" s="2">
        <v>0</v>
      </c>
      <c r="C218" s="8">
        <f>(data!C218-AVERAGE(data!C:C))/_xlfn.STDEV.S(data!C:C)</f>
        <v>-1.0546404379106251</v>
      </c>
      <c r="D218" s="2">
        <v>1</v>
      </c>
      <c r="E218" s="2">
        <v>0</v>
      </c>
      <c r="F218" s="2">
        <v>0</v>
      </c>
      <c r="G218" s="2">
        <v>0</v>
      </c>
      <c r="H218" s="2">
        <v>0</v>
      </c>
      <c r="I218" s="2">
        <v>1</v>
      </c>
      <c r="J218" s="8">
        <f>(data!J218-AVERAGE(data!J:J))/_xlfn.STDEV.S(data!J:J)</f>
        <v>2.9554365876391778E-2</v>
      </c>
      <c r="K218" s="2">
        <v>0</v>
      </c>
      <c r="L218" s="2">
        <v>0</v>
      </c>
      <c r="M218" s="2">
        <v>0</v>
      </c>
      <c r="N218" s="2">
        <v>1</v>
      </c>
      <c r="O218" s="2">
        <v>1</v>
      </c>
      <c r="P218" s="2">
        <v>1</v>
      </c>
      <c r="Q218" s="2">
        <v>0</v>
      </c>
      <c r="R218" s="2">
        <v>0</v>
      </c>
      <c r="S218" s="6" cm="1">
        <f t="array" ref="S218">$Y$2+MMULT(C218:R218,$Y$3:$Y$18)</f>
        <v>-11.554869030726312</v>
      </c>
      <c r="T218" s="7">
        <f t="shared" si="7"/>
        <v>9.5891469992831743E-6</v>
      </c>
      <c r="U218" s="3">
        <f t="shared" si="6"/>
        <v>0</v>
      </c>
    </row>
    <row r="219" spans="1:21">
      <c r="A219" s="2">
        <v>218</v>
      </c>
      <c r="B219" s="2">
        <v>0</v>
      </c>
      <c r="C219" s="8">
        <f>(data!C219-AVERAGE(data!C:C))/_xlfn.STDEV.S(data!C:C)</f>
        <v>-0.97063315135956907</v>
      </c>
      <c r="D219" s="2">
        <v>0</v>
      </c>
      <c r="E219" s="2">
        <v>0</v>
      </c>
      <c r="F219" s="2">
        <v>1</v>
      </c>
      <c r="G219" s="2">
        <v>1</v>
      </c>
      <c r="H219" s="2">
        <v>0</v>
      </c>
      <c r="I219" s="2">
        <v>0</v>
      </c>
      <c r="J219" s="8">
        <f>(data!J219-AVERAGE(data!J:J))/_xlfn.STDEV.S(data!J:J)</f>
        <v>-0.70821017488983018</v>
      </c>
      <c r="K219" s="2">
        <v>0</v>
      </c>
      <c r="L219" s="2">
        <v>0</v>
      </c>
      <c r="M219" s="2">
        <v>0</v>
      </c>
      <c r="N219" s="2">
        <v>0</v>
      </c>
      <c r="O219" s="2">
        <v>1</v>
      </c>
      <c r="P219" s="2">
        <v>1</v>
      </c>
      <c r="Q219" s="2">
        <v>0</v>
      </c>
      <c r="R219" s="2">
        <v>0</v>
      </c>
      <c r="S219" s="6" cm="1">
        <f t="array" ref="S219">$Y$2+MMULT(C219:R219,$Y$3:$Y$18)</f>
        <v>-13.393909088446982</v>
      </c>
      <c r="T219" s="7">
        <f t="shared" si="7"/>
        <v>1.5243985595951244E-6</v>
      </c>
      <c r="U219" s="3">
        <f t="shared" si="6"/>
        <v>0</v>
      </c>
    </row>
    <row r="220" spans="1:21">
      <c r="A220" s="2">
        <v>219</v>
      </c>
      <c r="B220" s="2">
        <v>0</v>
      </c>
      <c r="C220" s="8">
        <f>(data!C220-AVERAGE(data!C:C))/_xlfn.STDEV.S(data!C:C)</f>
        <v>-1.0126367946350971</v>
      </c>
      <c r="D220" s="2">
        <v>1</v>
      </c>
      <c r="E220" s="2">
        <v>0</v>
      </c>
      <c r="F220" s="2">
        <v>0</v>
      </c>
      <c r="G220" s="2">
        <v>1</v>
      </c>
      <c r="H220" s="2">
        <v>0</v>
      </c>
      <c r="I220" s="2">
        <v>0</v>
      </c>
      <c r="J220" s="8">
        <f>(data!J220-AVERAGE(data!J:J))/_xlfn.STDEV.S(data!J:J)</f>
        <v>-0.33932790450671924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1</v>
      </c>
      <c r="Q220" s="2">
        <v>0</v>
      </c>
      <c r="R220" s="2">
        <v>0</v>
      </c>
      <c r="S220" s="6" cm="1">
        <f t="array" ref="S220">$Y$2+MMULT(C220:R220,$Y$3:$Y$18)</f>
        <v>-12.64413772336056</v>
      </c>
      <c r="T220" s="7">
        <f t="shared" si="7"/>
        <v>3.2264085293641247E-6</v>
      </c>
      <c r="U220" s="3">
        <f t="shared" si="6"/>
        <v>0</v>
      </c>
    </row>
    <row r="221" spans="1:21">
      <c r="A221" s="2">
        <v>220</v>
      </c>
      <c r="B221" s="2">
        <v>0</v>
      </c>
      <c r="C221" s="8">
        <f>(data!C221-AVERAGE(data!C:C))/_xlfn.STDEV.S(data!C:C)</f>
        <v>-0.97063315135956907</v>
      </c>
      <c r="D221" s="2">
        <v>0</v>
      </c>
      <c r="E221" s="2">
        <v>0</v>
      </c>
      <c r="F221" s="2">
        <v>0</v>
      </c>
      <c r="G221" s="2">
        <v>1</v>
      </c>
      <c r="H221" s="2">
        <v>0</v>
      </c>
      <c r="I221" s="2">
        <v>0</v>
      </c>
      <c r="J221" s="8">
        <f>(data!J221-AVERAGE(data!J:J))/_xlfn.STDEV.S(data!J:J)</f>
        <v>0.39843663625950276</v>
      </c>
      <c r="K221" s="2">
        <v>0</v>
      </c>
      <c r="L221" s="2">
        <v>0</v>
      </c>
      <c r="M221" s="2">
        <v>0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  <c r="S221" s="6" cm="1">
        <f t="array" ref="S221">$Y$2+MMULT(C221:R221,$Y$3:$Y$18)</f>
        <v>-8.7164992208496006</v>
      </c>
      <c r="T221" s="7">
        <f t="shared" si="7"/>
        <v>1.6383297941997469E-4</v>
      </c>
      <c r="U221" s="3">
        <f t="shared" si="6"/>
        <v>0</v>
      </c>
    </row>
    <row r="222" spans="1:21">
      <c r="A222" s="2">
        <v>221</v>
      </c>
      <c r="B222" s="2">
        <v>0</v>
      </c>
      <c r="C222" s="8">
        <f>(data!C222-AVERAGE(data!C:C))/_xlfn.STDEV.S(data!C:C)</f>
        <v>-0.88662586480851291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8">
        <f>(data!J222-AVERAGE(data!J:J))/_xlfn.STDEV.S(data!J:J)</f>
        <v>-0.70821017488983018</v>
      </c>
      <c r="K222" s="2">
        <v>0</v>
      </c>
      <c r="L222" s="2">
        <v>0</v>
      </c>
      <c r="M222" s="2">
        <v>0</v>
      </c>
      <c r="N222" s="2">
        <v>0</v>
      </c>
      <c r="O222" s="2">
        <v>1</v>
      </c>
      <c r="P222" s="2">
        <v>1</v>
      </c>
      <c r="Q222" s="2">
        <v>0</v>
      </c>
      <c r="R222" s="2">
        <v>1</v>
      </c>
      <c r="S222" s="6" cm="1">
        <f t="array" ref="S222">$Y$2+MMULT(C222:R222,$Y$3:$Y$18)</f>
        <v>-11.154825153487419</v>
      </c>
      <c r="T222" s="7">
        <f t="shared" si="7"/>
        <v>1.4305886536728444E-5</v>
      </c>
      <c r="U222" s="3">
        <f t="shared" si="6"/>
        <v>0</v>
      </c>
    </row>
    <row r="223" spans="1:21">
      <c r="A223" s="2">
        <v>222</v>
      </c>
      <c r="B223" s="2">
        <v>0</v>
      </c>
      <c r="C223" s="8">
        <f>(data!C223-AVERAGE(data!C:C))/_xlfn.STDEV.S(data!C:C)</f>
        <v>-1.1806513677372095</v>
      </c>
      <c r="D223" s="2">
        <v>1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8">
        <f>(data!J223-AVERAGE(data!J:J))/_xlfn.STDEV.S(data!J:J)</f>
        <v>-0.56065726673658578</v>
      </c>
      <c r="K223" s="2">
        <v>0</v>
      </c>
      <c r="L223" s="2">
        <v>0</v>
      </c>
      <c r="M223" s="2">
        <v>0</v>
      </c>
      <c r="N223" s="2">
        <v>0</v>
      </c>
      <c r="O223" s="2">
        <v>1</v>
      </c>
      <c r="P223" s="2">
        <v>1</v>
      </c>
      <c r="Q223" s="2">
        <v>0</v>
      </c>
      <c r="R223" s="2">
        <v>0</v>
      </c>
      <c r="S223" s="6" cm="1">
        <f t="array" ref="S223">$Y$2+MMULT(C223:R223,$Y$3:$Y$18)</f>
        <v>-13.039038993951349</v>
      </c>
      <c r="T223" s="7">
        <f t="shared" si="7"/>
        <v>2.173783918460324E-6</v>
      </c>
      <c r="U223" s="3">
        <f t="shared" si="6"/>
        <v>0</v>
      </c>
    </row>
    <row r="224" spans="1:21">
      <c r="A224" s="2">
        <v>223</v>
      </c>
      <c r="B224" s="2">
        <v>0</v>
      </c>
      <c r="C224" s="8">
        <f>(data!C224-AVERAGE(data!C:C))/_xlfn.STDEV.S(data!C:C)</f>
        <v>-0.50859307532876041</v>
      </c>
      <c r="D224" s="2">
        <v>0</v>
      </c>
      <c r="E224" s="2">
        <v>0</v>
      </c>
      <c r="F224" s="2">
        <v>1</v>
      </c>
      <c r="G224" s="2">
        <v>0</v>
      </c>
      <c r="H224" s="2">
        <v>0</v>
      </c>
      <c r="I224" s="2">
        <v>0</v>
      </c>
      <c r="J224" s="8">
        <f>(data!J224-AVERAGE(data!J:J))/_xlfn.STDEV.S(data!J:J)</f>
        <v>-1.003315991196319</v>
      </c>
      <c r="K224" s="2">
        <v>0</v>
      </c>
      <c r="L224" s="2">
        <v>0</v>
      </c>
      <c r="M224" s="2">
        <v>0</v>
      </c>
      <c r="N224" s="2">
        <v>0</v>
      </c>
      <c r="O224" s="2">
        <v>1</v>
      </c>
      <c r="P224" s="2">
        <v>1</v>
      </c>
      <c r="Q224" s="2">
        <v>0</v>
      </c>
      <c r="R224" s="2">
        <v>1</v>
      </c>
      <c r="S224" s="6" cm="1">
        <f t="array" ref="S224">$Y$2+MMULT(C224:R224,$Y$3:$Y$18)</f>
        <v>-9.8580875470948914</v>
      </c>
      <c r="T224" s="7">
        <f t="shared" si="7"/>
        <v>5.2319580540269704E-5</v>
      </c>
      <c r="U224" s="3">
        <f t="shared" si="6"/>
        <v>0</v>
      </c>
    </row>
    <row r="225" spans="1:21">
      <c r="A225" s="2">
        <v>224</v>
      </c>
      <c r="B225" s="2">
        <v>0</v>
      </c>
      <c r="C225" s="8">
        <f>(data!C225-AVERAGE(data!C:C))/_xlfn.STDEV.S(data!C:C)</f>
        <v>-0.29857485895112013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8">
        <f>(data!J225-AVERAGE(data!J:J))/_xlfn.STDEV.S(data!J:J)</f>
        <v>1.1362011770257248</v>
      </c>
      <c r="K225" s="2">
        <v>0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6" cm="1">
        <f t="array" ref="S225">$Y$2+MMULT(C225:R225,$Y$3:$Y$18)</f>
        <v>-5.6999820131090937</v>
      </c>
      <c r="T225" s="7">
        <f t="shared" si="7"/>
        <v>3.334867090731517E-3</v>
      </c>
      <c r="U225" s="3">
        <f t="shared" si="6"/>
        <v>0</v>
      </c>
    </row>
    <row r="226" spans="1:21">
      <c r="A226" s="2">
        <v>225</v>
      </c>
      <c r="B226" s="2">
        <v>0</v>
      </c>
      <c r="C226" s="8">
        <f>(data!C226-AVERAGE(data!C:C))/_xlfn.STDEV.S(data!C:C)</f>
        <v>-1.0546404379106251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8">
        <f>(data!J226-AVERAGE(data!J:J))/_xlfn.STDEV.S(data!J:J)</f>
        <v>-1.2246453534261856</v>
      </c>
      <c r="K226" s="2">
        <v>0</v>
      </c>
      <c r="L226" s="2">
        <v>1</v>
      </c>
      <c r="M226" s="2">
        <v>0</v>
      </c>
      <c r="N226" s="2">
        <v>0</v>
      </c>
      <c r="O226" s="2">
        <v>1</v>
      </c>
      <c r="P226" s="2">
        <v>1</v>
      </c>
      <c r="Q226" s="2">
        <v>0</v>
      </c>
      <c r="R226" s="2">
        <v>0</v>
      </c>
      <c r="S226" s="6" cm="1">
        <f t="array" ref="S226">$Y$2+MMULT(C226:R226,$Y$3:$Y$18)</f>
        <v>-13.518311111764557</v>
      </c>
      <c r="T226" s="7">
        <f t="shared" si="7"/>
        <v>1.3460819320253157E-6</v>
      </c>
      <c r="U226" s="3">
        <f t="shared" si="6"/>
        <v>0</v>
      </c>
    </row>
    <row r="227" spans="1:21">
      <c r="A227" s="2">
        <v>226</v>
      </c>
      <c r="B227" s="2">
        <v>0</v>
      </c>
      <c r="C227" s="8">
        <f>(data!C227-AVERAGE(data!C:C))/_xlfn.STDEV.S(data!C:C)</f>
        <v>0.12146157380416044</v>
      </c>
      <c r="D227" s="2">
        <v>1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8">
        <f>(data!J227-AVERAGE(data!J:J))/_xlfn.STDEV.S(data!J:J)</f>
        <v>2.8330596207880352</v>
      </c>
      <c r="K227" s="2">
        <v>0</v>
      </c>
      <c r="L227" s="2">
        <v>1</v>
      </c>
      <c r="M227" s="2">
        <v>1</v>
      </c>
      <c r="N227" s="2">
        <v>1</v>
      </c>
      <c r="O227" s="2">
        <v>0</v>
      </c>
      <c r="P227" s="2">
        <v>1</v>
      </c>
      <c r="Q227" s="2">
        <v>0</v>
      </c>
      <c r="R227" s="2">
        <v>0</v>
      </c>
      <c r="S227" s="6" cm="1">
        <f t="array" ref="S227">$Y$2+MMULT(C227:R227,$Y$3:$Y$18)</f>
        <v>-4.8933104995648602</v>
      </c>
      <c r="T227" s="7">
        <f t="shared" si="7"/>
        <v>7.4407836680651087E-3</v>
      </c>
      <c r="U227" s="3">
        <f t="shared" si="6"/>
        <v>0</v>
      </c>
    </row>
    <row r="228" spans="1:21">
      <c r="A228" s="2">
        <v>227</v>
      </c>
      <c r="B228" s="2">
        <v>1</v>
      </c>
      <c r="C228" s="8">
        <f>(data!C228-AVERAGE(data!C:C))/_xlfn.STDEV.S(data!C:C)</f>
        <v>1.3395672287944742</v>
      </c>
      <c r="D228" s="2">
        <v>1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8">
        <f>(data!J228-AVERAGE(data!J:J))/_xlfn.STDEV.S(data!J:J)</f>
        <v>-0.63443372081320804</v>
      </c>
      <c r="K228" s="2">
        <v>0</v>
      </c>
      <c r="L228" s="2">
        <v>1</v>
      </c>
      <c r="M228" s="2">
        <v>0</v>
      </c>
      <c r="N228" s="2">
        <v>1</v>
      </c>
      <c r="O228" s="2">
        <v>1</v>
      </c>
      <c r="P228" s="2">
        <v>1</v>
      </c>
      <c r="Q228" s="2">
        <v>0</v>
      </c>
      <c r="R228" s="2">
        <v>0</v>
      </c>
      <c r="S228" s="6" cm="1">
        <f t="array" ref="S228">$Y$2+MMULT(C228:R228,$Y$3:$Y$18)</f>
        <v>0.63927184060059083</v>
      </c>
      <c r="T228" s="7">
        <f t="shared" si="7"/>
        <v>0.6545888406361452</v>
      </c>
      <c r="U228" s="3">
        <f t="shared" si="6"/>
        <v>1</v>
      </c>
    </row>
    <row r="229" spans="1:21">
      <c r="A229" s="2">
        <v>228</v>
      </c>
      <c r="B229" s="2">
        <v>0</v>
      </c>
      <c r="C229" s="8">
        <f>(data!C229-AVERAGE(data!C:C))/_xlfn.STDEV.S(data!C:C)</f>
        <v>0.12146157380416044</v>
      </c>
      <c r="D229" s="2">
        <v>1</v>
      </c>
      <c r="E229" s="2">
        <v>0</v>
      </c>
      <c r="F229" s="2">
        <v>1</v>
      </c>
      <c r="G229" s="2">
        <v>1</v>
      </c>
      <c r="H229" s="2">
        <v>0</v>
      </c>
      <c r="I229" s="2">
        <v>0</v>
      </c>
      <c r="J229" s="8">
        <f>(data!J229-AVERAGE(data!J:J))/_xlfn.STDEV.S(data!J:J)</f>
        <v>-1.1508688993495635</v>
      </c>
      <c r="K229" s="2">
        <v>0</v>
      </c>
      <c r="L229" s="2">
        <v>0</v>
      </c>
      <c r="M229" s="2">
        <v>1</v>
      </c>
      <c r="N229" s="2">
        <v>1</v>
      </c>
      <c r="O229" s="2">
        <v>1</v>
      </c>
      <c r="P229" s="2">
        <v>1</v>
      </c>
      <c r="Q229" s="2">
        <v>0</v>
      </c>
      <c r="R229" s="2">
        <v>0</v>
      </c>
      <c r="S229" s="6" cm="1">
        <f t="array" ref="S229">$Y$2+MMULT(C229:R229,$Y$3:$Y$18)</f>
        <v>-5.9337475963599715</v>
      </c>
      <c r="T229" s="7">
        <f t="shared" si="7"/>
        <v>2.6415414942724722E-3</v>
      </c>
      <c r="U229" s="3">
        <f t="shared" si="6"/>
        <v>0</v>
      </c>
    </row>
    <row r="230" spans="1:21">
      <c r="A230" s="2">
        <v>229</v>
      </c>
      <c r="B230" s="2">
        <v>0</v>
      </c>
      <c r="C230" s="8">
        <f>(data!C230-AVERAGE(data!C:C))/_xlfn.STDEV.S(data!C:C)</f>
        <v>-1.1806513677372095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8">
        <f>(data!J230-AVERAGE(data!J:J))/_xlfn.STDEV.S(data!J:J)</f>
        <v>-0.92953953711969683</v>
      </c>
      <c r="K230" s="2">
        <v>0</v>
      </c>
      <c r="L230" s="2">
        <v>1</v>
      </c>
      <c r="M230" s="2">
        <v>0</v>
      </c>
      <c r="N230" s="2">
        <v>1</v>
      </c>
      <c r="O230" s="2">
        <v>0</v>
      </c>
      <c r="P230" s="2">
        <v>1</v>
      </c>
      <c r="Q230" s="2">
        <v>0</v>
      </c>
      <c r="R230" s="2">
        <v>0</v>
      </c>
      <c r="S230" s="6" cm="1">
        <f t="array" ref="S230">$Y$2+MMULT(C230:R230,$Y$3:$Y$18)</f>
        <v>-16.437831882903154</v>
      </c>
      <c r="T230" s="7">
        <f t="shared" si="7"/>
        <v>7.2634054449851546E-8</v>
      </c>
      <c r="U230" s="3">
        <f t="shared" si="6"/>
        <v>0</v>
      </c>
    </row>
    <row r="231" spans="1:21">
      <c r="A231" s="2">
        <v>230</v>
      </c>
      <c r="B231" s="2">
        <v>0</v>
      </c>
      <c r="C231" s="8">
        <f>(data!C231-AVERAGE(data!C:C))/_xlfn.STDEV.S(data!C:C)</f>
        <v>-0.7186112917064007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8">
        <f>(data!J231-AVERAGE(data!J:J))/_xlfn.STDEV.S(data!J:J)</f>
        <v>-0.70821017488983018</v>
      </c>
      <c r="K231" s="2">
        <v>0</v>
      </c>
      <c r="L231" s="2">
        <v>0</v>
      </c>
      <c r="M231" s="2">
        <v>0</v>
      </c>
      <c r="N231" s="2">
        <v>1</v>
      </c>
      <c r="O231" s="2">
        <v>1</v>
      </c>
      <c r="P231" s="2">
        <v>1</v>
      </c>
      <c r="Q231" s="2">
        <v>1</v>
      </c>
      <c r="R231" s="2">
        <v>0</v>
      </c>
      <c r="S231" s="6" cm="1">
        <f t="array" ref="S231">$Y$2+MMULT(C231:R231,$Y$3:$Y$18)</f>
        <v>-10.02616392583235</v>
      </c>
      <c r="T231" s="7">
        <f t="shared" si="7"/>
        <v>4.4225538025609115E-5</v>
      </c>
      <c r="U231" s="3">
        <f t="shared" si="6"/>
        <v>0</v>
      </c>
    </row>
    <row r="232" spans="1:21">
      <c r="A232" s="2">
        <v>231</v>
      </c>
      <c r="B232" s="2">
        <v>0</v>
      </c>
      <c r="C232" s="8">
        <f>(data!C232-AVERAGE(data!C:C))/_xlfn.STDEV.S(data!C:C)</f>
        <v>0.62550529311049718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8">
        <f>(data!J232-AVERAGE(data!J:J))/_xlfn.STDEV.S(data!J:J)</f>
        <v>1.2099776311023469</v>
      </c>
      <c r="K232" s="2">
        <v>0</v>
      </c>
      <c r="L232" s="2">
        <v>1</v>
      </c>
      <c r="M232" s="2">
        <v>1</v>
      </c>
      <c r="N232" s="2">
        <v>1</v>
      </c>
      <c r="O232" s="2">
        <v>0</v>
      </c>
      <c r="P232" s="2">
        <v>1</v>
      </c>
      <c r="Q232" s="2">
        <v>0</v>
      </c>
      <c r="R232" s="2">
        <v>0</v>
      </c>
      <c r="S232" s="6" cm="1">
        <f t="array" ref="S232">$Y$2+MMULT(C232:R232,$Y$3:$Y$18)</f>
        <v>-2.9071939366867263</v>
      </c>
      <c r="T232" s="7">
        <f t="shared" si="7"/>
        <v>5.1799084693042785E-2</v>
      </c>
      <c r="U232" s="3">
        <f t="shared" si="6"/>
        <v>0</v>
      </c>
    </row>
    <row r="233" spans="1:21">
      <c r="A233" s="2">
        <v>232</v>
      </c>
      <c r="B233" s="2">
        <v>0</v>
      </c>
      <c r="C233" s="8">
        <f>(data!C233-AVERAGE(data!C:C))/_xlfn.STDEV.S(data!C:C)</f>
        <v>-0.50859307532876041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8">
        <f>(data!J233-AVERAGE(data!J:J))/_xlfn.STDEV.S(data!J:J)</f>
        <v>-1.2246453534261856</v>
      </c>
      <c r="K233" s="2">
        <v>0</v>
      </c>
      <c r="L233" s="2">
        <v>0</v>
      </c>
      <c r="M233" s="2">
        <v>0</v>
      </c>
      <c r="N233" s="2">
        <v>0</v>
      </c>
      <c r="O233" s="2">
        <v>1</v>
      </c>
      <c r="P233" s="2">
        <v>1</v>
      </c>
      <c r="Q233" s="2">
        <v>0</v>
      </c>
      <c r="R233" s="2">
        <v>0</v>
      </c>
      <c r="S233" s="6" cm="1">
        <f t="array" ref="S233">$Y$2+MMULT(C233:R233,$Y$3:$Y$18)</f>
        <v>-9.6065950253124672</v>
      </c>
      <c r="T233" s="7">
        <f t="shared" si="7"/>
        <v>6.727900666638037E-5</v>
      </c>
      <c r="U233" s="3">
        <f t="shared" si="6"/>
        <v>0</v>
      </c>
    </row>
    <row r="234" spans="1:21">
      <c r="A234" s="2">
        <v>233</v>
      </c>
      <c r="B234" s="2">
        <v>0</v>
      </c>
      <c r="C234" s="8">
        <f>(data!C234-AVERAGE(data!C:C))/_xlfn.STDEV.S(data!C:C)</f>
        <v>-1.2226550110127374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8">
        <f>(data!J234-AVERAGE(data!J:J))/_xlfn.STDEV.S(data!J:J)</f>
        <v>0.25088372810625836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1</v>
      </c>
      <c r="Q234" s="2">
        <v>0</v>
      </c>
      <c r="R234" s="2">
        <v>0</v>
      </c>
      <c r="S234" s="6" cm="1">
        <f t="array" ref="S234">$Y$2+MMULT(C234:R234,$Y$3:$Y$18)</f>
        <v>-14.285669852180748</v>
      </c>
      <c r="T234" s="7">
        <f t="shared" si="7"/>
        <v>6.2490232646210392E-7</v>
      </c>
      <c r="U234" s="3">
        <f t="shared" si="6"/>
        <v>0</v>
      </c>
    </row>
    <row r="235" spans="1:21">
      <c r="A235" s="2">
        <v>234</v>
      </c>
      <c r="B235" s="2">
        <v>1</v>
      </c>
      <c r="C235" s="8">
        <f>(data!C235-AVERAGE(data!C:C))/_xlfn.STDEV.S(data!C:C)</f>
        <v>1.6755963749986986</v>
      </c>
      <c r="D235" s="2">
        <v>1</v>
      </c>
      <c r="E235" s="2">
        <v>1</v>
      </c>
      <c r="F235" s="2">
        <v>1</v>
      </c>
      <c r="G235" s="2">
        <v>1</v>
      </c>
      <c r="H235" s="2">
        <v>0</v>
      </c>
      <c r="I235" s="2">
        <v>0</v>
      </c>
      <c r="J235" s="8">
        <f>(data!J235-AVERAGE(data!J:J))/_xlfn.STDEV.S(data!J:J)</f>
        <v>2.0952950800218133</v>
      </c>
      <c r="K235" s="2">
        <v>1</v>
      </c>
      <c r="L235" s="2">
        <v>0</v>
      </c>
      <c r="M235" s="2">
        <v>1</v>
      </c>
      <c r="N235" s="2">
        <v>1</v>
      </c>
      <c r="O235" s="2">
        <v>1</v>
      </c>
      <c r="P235" s="2">
        <v>1</v>
      </c>
      <c r="Q235" s="2">
        <v>0</v>
      </c>
      <c r="R235" s="2">
        <v>0</v>
      </c>
      <c r="S235" s="6" cm="1">
        <f t="array" ref="S235">$Y$2+MMULT(C235:R235,$Y$3:$Y$18)</f>
        <v>5.3711332671861669</v>
      </c>
      <c r="T235" s="7">
        <f t="shared" si="7"/>
        <v>0.99537265196931368</v>
      </c>
      <c r="U235" s="3">
        <f t="shared" si="6"/>
        <v>1</v>
      </c>
    </row>
    <row r="236" spans="1:21">
      <c r="A236" s="2">
        <v>235</v>
      </c>
      <c r="B236" s="2">
        <v>0</v>
      </c>
      <c r="C236" s="8">
        <f>(data!C236-AVERAGE(data!C:C))/_xlfn.STDEV.S(data!C:C)</f>
        <v>0.24747250363074461</v>
      </c>
      <c r="D236" s="2">
        <v>0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8">
        <f>(data!J236-AVERAGE(data!J:J))/_xlfn.STDEV.S(data!J:J)</f>
        <v>-1.1508688993495635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6" cm="1">
        <f t="array" ref="S236">$Y$2+MMULT(C236:R236,$Y$3:$Y$18)</f>
        <v>-3.2235274704052017</v>
      </c>
      <c r="T236" s="7">
        <f t="shared" si="7"/>
        <v>3.8289878997776659E-2</v>
      </c>
      <c r="U236" s="3">
        <f t="shared" si="6"/>
        <v>0</v>
      </c>
    </row>
    <row r="237" spans="1:21">
      <c r="A237" s="2">
        <v>236</v>
      </c>
      <c r="B237" s="2">
        <v>0</v>
      </c>
      <c r="C237" s="8">
        <f>(data!C237-AVERAGE(data!C:C))/_xlfn.STDEV.S(data!C:C)</f>
        <v>0.54149800655944103</v>
      </c>
      <c r="D237" s="2">
        <v>1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8">
        <f>(data!J237-AVERAGE(data!J:J))/_xlfn.STDEV.S(data!J:J)</f>
        <v>0.39843663625950276</v>
      </c>
      <c r="K237" s="2">
        <v>1</v>
      </c>
      <c r="L237" s="2">
        <v>0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0</v>
      </c>
      <c r="S237" s="6" cm="1">
        <f t="array" ref="S237">$Y$2+MMULT(C237:R237,$Y$3:$Y$18)</f>
        <v>-1.0548118638607469</v>
      </c>
      <c r="T237" s="7">
        <f t="shared" si="7"/>
        <v>0.25830216195656969</v>
      </c>
      <c r="U237" s="3">
        <f t="shared" si="6"/>
        <v>0</v>
      </c>
    </row>
    <row r="238" spans="1:21">
      <c r="A238" s="2">
        <v>237</v>
      </c>
      <c r="B238" s="2">
        <v>0</v>
      </c>
      <c r="C238" s="8">
        <f>(data!C238-AVERAGE(data!C:C))/_xlfn.STDEV.S(data!C:C)</f>
        <v>0.79351986621260939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8">
        <f>(data!J238-AVERAGE(data!J:J))/_xlfn.STDEV.S(data!J:J)</f>
        <v>1.3575305392555914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0</v>
      </c>
      <c r="R238" s="2">
        <v>0</v>
      </c>
      <c r="S238" s="6" cm="1">
        <f t="array" ref="S238">$Y$2+MMULT(C238:R238,$Y$3:$Y$18)</f>
        <v>-1.4335694409269411</v>
      </c>
      <c r="T238" s="7">
        <f t="shared" si="7"/>
        <v>0.1925431331713921</v>
      </c>
      <c r="U238" s="3">
        <f t="shared" si="6"/>
        <v>0</v>
      </c>
    </row>
    <row r="239" spans="1:21">
      <c r="A239" s="2">
        <v>238</v>
      </c>
      <c r="B239" s="2">
        <v>0</v>
      </c>
      <c r="C239" s="8">
        <f>(data!C239-AVERAGE(data!C:C))/_xlfn.STDEV.S(data!C:C)</f>
        <v>0.24747250363074461</v>
      </c>
      <c r="D239" s="2">
        <v>1</v>
      </c>
      <c r="E239" s="2">
        <v>1</v>
      </c>
      <c r="F239" s="2">
        <v>0</v>
      </c>
      <c r="G239" s="2">
        <v>0</v>
      </c>
      <c r="H239" s="2">
        <v>0</v>
      </c>
      <c r="I239" s="2">
        <v>0</v>
      </c>
      <c r="J239" s="8">
        <f>(data!J239-AVERAGE(data!J:J))/_xlfn.STDEV.S(data!J:J)</f>
        <v>-0.11799854227685262</v>
      </c>
      <c r="K239" s="2">
        <v>0</v>
      </c>
      <c r="L239" s="2">
        <v>0</v>
      </c>
      <c r="M239" s="2">
        <v>1</v>
      </c>
      <c r="N239" s="2">
        <v>1</v>
      </c>
      <c r="O239" s="2">
        <v>1</v>
      </c>
      <c r="P239" s="2">
        <v>1</v>
      </c>
      <c r="Q239" s="2">
        <v>0</v>
      </c>
      <c r="R239" s="2">
        <v>0</v>
      </c>
      <c r="S239" s="6" cm="1">
        <f t="array" ref="S239">$Y$2+MMULT(C239:R239,$Y$3:$Y$18)</f>
        <v>-3.3541144729732735</v>
      </c>
      <c r="T239" s="7">
        <f t="shared" si="7"/>
        <v>3.3760688550661194E-2</v>
      </c>
      <c r="U239" s="3">
        <f t="shared" si="6"/>
        <v>0</v>
      </c>
    </row>
    <row r="240" spans="1:21">
      <c r="A240" s="2">
        <v>239</v>
      </c>
      <c r="B240" s="2">
        <v>0</v>
      </c>
      <c r="C240" s="8">
        <f>(data!C240-AVERAGE(data!C:C))/_xlfn.STDEV.S(data!C:C)</f>
        <v>-0.21456757240006402</v>
      </c>
      <c r="D240" s="2">
        <v>1</v>
      </c>
      <c r="E240" s="2">
        <v>0</v>
      </c>
      <c r="F240" s="2">
        <v>0</v>
      </c>
      <c r="G240" s="2">
        <v>0</v>
      </c>
      <c r="H240" s="2">
        <v>1</v>
      </c>
      <c r="I240" s="2">
        <v>0</v>
      </c>
      <c r="J240" s="8">
        <f>(data!J240-AVERAGE(data!J:J))/_xlfn.STDEV.S(data!J:J)</f>
        <v>-1.0770924452729411</v>
      </c>
      <c r="K240" s="2">
        <v>0</v>
      </c>
      <c r="L240" s="2">
        <v>0</v>
      </c>
      <c r="M240" s="2">
        <v>1</v>
      </c>
      <c r="N240" s="2">
        <v>0</v>
      </c>
      <c r="O240" s="2">
        <v>0</v>
      </c>
      <c r="P240" s="2">
        <v>1</v>
      </c>
      <c r="Q240" s="2">
        <v>1</v>
      </c>
      <c r="R240" s="2">
        <v>0</v>
      </c>
      <c r="S240" s="6" cm="1">
        <f t="array" ref="S240">$Y$2+MMULT(C240:R240,$Y$3:$Y$18)</f>
        <v>-9.6622107867295153</v>
      </c>
      <c r="T240" s="7">
        <f t="shared" si="7"/>
        <v>6.3639613459872424E-5</v>
      </c>
      <c r="U240" s="3">
        <f t="shared" si="6"/>
        <v>0</v>
      </c>
    </row>
    <row r="241" spans="1:21">
      <c r="A241" s="2">
        <v>240</v>
      </c>
      <c r="B241" s="2">
        <v>1</v>
      </c>
      <c r="C241" s="8">
        <f>(data!C241-AVERAGE(data!C:C))/_xlfn.STDEV.S(data!C:C)</f>
        <v>1.6755963749986986</v>
      </c>
      <c r="D241" s="2">
        <v>1</v>
      </c>
      <c r="E241" s="2">
        <v>0</v>
      </c>
      <c r="F241" s="2">
        <v>0</v>
      </c>
      <c r="G241" s="2">
        <v>1</v>
      </c>
      <c r="H241" s="2">
        <v>0</v>
      </c>
      <c r="I241" s="2">
        <v>0</v>
      </c>
      <c r="J241" s="8">
        <f>(data!J241-AVERAGE(data!J:J))/_xlfn.STDEV.S(data!J:J)</f>
        <v>1.8739657177919469</v>
      </c>
      <c r="K241" s="2">
        <v>0</v>
      </c>
      <c r="L241" s="2">
        <v>0</v>
      </c>
      <c r="M241" s="2">
        <v>1</v>
      </c>
      <c r="N241" s="2">
        <v>1</v>
      </c>
      <c r="O241" s="2">
        <v>1</v>
      </c>
      <c r="P241" s="2">
        <v>1</v>
      </c>
      <c r="Q241" s="2">
        <v>0</v>
      </c>
      <c r="R241" s="2">
        <v>1</v>
      </c>
      <c r="S241" s="6" cm="1">
        <f t="array" ref="S241">$Y$2+MMULT(C241:R241,$Y$3:$Y$18)</f>
        <v>5.9447226799741326</v>
      </c>
      <c r="T241" s="7">
        <f t="shared" si="7"/>
        <v>0.99738721580138934</v>
      </c>
      <c r="U241" s="3">
        <f t="shared" si="6"/>
        <v>1</v>
      </c>
    </row>
    <row r="242" spans="1:21">
      <c r="A242" s="2">
        <v>241</v>
      </c>
      <c r="B242" s="2">
        <v>0</v>
      </c>
      <c r="C242" s="8">
        <f>(data!C242-AVERAGE(data!C:C))/_xlfn.STDEV.S(data!C:C)</f>
        <v>-0.34057850222664821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8">
        <f>(data!J242-AVERAGE(data!J:J))/_xlfn.STDEV.S(data!J:J)</f>
        <v>-1.003315991196319</v>
      </c>
      <c r="K242" s="2">
        <v>0</v>
      </c>
      <c r="L242" s="2">
        <v>0</v>
      </c>
      <c r="M242" s="2">
        <v>0</v>
      </c>
      <c r="N242" s="2">
        <v>0</v>
      </c>
      <c r="O242" s="2">
        <v>1</v>
      </c>
      <c r="P242" s="2">
        <v>1</v>
      </c>
      <c r="Q242" s="2">
        <v>0</v>
      </c>
      <c r="R242" s="2">
        <v>0</v>
      </c>
      <c r="S242" s="6" cm="1">
        <f t="array" ref="S242">$Y$2+MMULT(C242:R242,$Y$3:$Y$18)</f>
        <v>-8.2947579809943726</v>
      </c>
      <c r="T242" s="7">
        <f t="shared" si="7"/>
        <v>2.4976058154832053E-4</v>
      </c>
      <c r="U242" s="3">
        <f t="shared" si="6"/>
        <v>0</v>
      </c>
    </row>
    <row r="243" spans="1:21">
      <c r="A243" s="2">
        <v>242</v>
      </c>
      <c r="B243" s="2">
        <v>0</v>
      </c>
      <c r="C243" s="8">
        <f>(data!C243-AVERAGE(data!C:C))/_xlfn.STDEV.S(data!C:C)</f>
        <v>0.41548707673285684</v>
      </c>
      <c r="D243" s="2">
        <v>1</v>
      </c>
      <c r="E243" s="2">
        <v>1</v>
      </c>
      <c r="F243" s="2">
        <v>0</v>
      </c>
      <c r="G243" s="2">
        <v>0</v>
      </c>
      <c r="H243" s="2">
        <v>0</v>
      </c>
      <c r="I243" s="2">
        <v>0</v>
      </c>
      <c r="J243" s="8">
        <f>(data!J243-AVERAGE(data!J:J))/_xlfn.STDEV.S(data!J:J)</f>
        <v>0.69354245256599156</v>
      </c>
      <c r="K243" s="2">
        <v>1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0</v>
      </c>
      <c r="R243" s="2">
        <v>0</v>
      </c>
      <c r="S243" s="6" cm="1">
        <f t="array" ref="S243">$Y$2+MMULT(C243:R243,$Y$3:$Y$18)</f>
        <v>-3.9639497979417073</v>
      </c>
      <c r="T243" s="7">
        <f t="shared" si="7"/>
        <v>1.8634142851332892E-2</v>
      </c>
      <c r="U243" s="3">
        <f t="shared" si="6"/>
        <v>0</v>
      </c>
    </row>
    <row r="244" spans="1:21">
      <c r="A244" s="2">
        <v>243</v>
      </c>
      <c r="B244" s="2">
        <v>0</v>
      </c>
      <c r="C244" s="8">
        <f>(data!C244-AVERAGE(data!C:C))/_xlfn.STDEV.S(data!C:C)</f>
        <v>-1.3906695841148498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8">
        <f>(data!J244-AVERAGE(data!J:J))/_xlfn.STDEV.S(data!J:J)</f>
        <v>0.10333081995301398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  <c r="P244" s="2">
        <v>1</v>
      </c>
      <c r="Q244" s="2">
        <v>0</v>
      </c>
      <c r="R244" s="2">
        <v>0</v>
      </c>
      <c r="S244" s="6" cm="1">
        <f t="array" ref="S244">$Y$2+MMULT(C244:R244,$Y$3:$Y$18)</f>
        <v>-15.537786279468863</v>
      </c>
      <c r="T244" s="7">
        <f t="shared" si="7"/>
        <v>1.7865907464092407E-7</v>
      </c>
      <c r="U244" s="3">
        <f t="shared" si="6"/>
        <v>0</v>
      </c>
    </row>
    <row r="245" spans="1:21">
      <c r="A245" s="2">
        <v>244</v>
      </c>
      <c r="B245" s="2">
        <v>0</v>
      </c>
      <c r="C245" s="8">
        <f>(data!C245-AVERAGE(data!C:C))/_xlfn.STDEV.S(data!C:C)</f>
        <v>-0.63460400515534465</v>
      </c>
      <c r="D245" s="2">
        <v>1</v>
      </c>
      <c r="E245" s="2">
        <v>0</v>
      </c>
      <c r="F245" s="2">
        <v>0</v>
      </c>
      <c r="G245" s="2">
        <v>0</v>
      </c>
      <c r="H245" s="2">
        <v>1</v>
      </c>
      <c r="I245" s="2">
        <v>0</v>
      </c>
      <c r="J245" s="8">
        <f>(data!J245-AVERAGE(data!J:J))/_xlfn.STDEV.S(data!J:J)</f>
        <v>2.6117302585581688</v>
      </c>
      <c r="K245" s="2">
        <v>0</v>
      </c>
      <c r="L245" s="2">
        <v>0</v>
      </c>
      <c r="M245" s="2">
        <v>0</v>
      </c>
      <c r="N245" s="2">
        <v>0</v>
      </c>
      <c r="O245" s="2">
        <v>1</v>
      </c>
      <c r="P245" s="2">
        <v>1</v>
      </c>
      <c r="Q245" s="2">
        <v>0</v>
      </c>
      <c r="R245" s="2">
        <v>0</v>
      </c>
      <c r="S245" s="6" cm="1">
        <f t="array" ref="S245">$Y$2+MMULT(C245:R245,$Y$3:$Y$18)</f>
        <v>-10.75979416351527</v>
      </c>
      <c r="T245" s="7">
        <f t="shared" si="7"/>
        <v>2.1235942738463655E-5</v>
      </c>
      <c r="U245" s="3">
        <f t="shared" si="6"/>
        <v>0</v>
      </c>
    </row>
    <row r="246" spans="1:21">
      <c r="A246" s="2">
        <v>245</v>
      </c>
      <c r="B246" s="2">
        <v>0</v>
      </c>
      <c r="C246" s="8">
        <f>(data!C246-AVERAGE(data!C:C))/_xlfn.STDEV.S(data!C:C)</f>
        <v>-1.3066622975637936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8">
        <f>(data!J246-AVERAGE(data!J:J))/_xlfn.STDEV.S(data!J:J)</f>
        <v>-0.19177499635347484</v>
      </c>
      <c r="K246" s="2">
        <v>0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0</v>
      </c>
      <c r="R246" s="2">
        <v>0</v>
      </c>
      <c r="S246" s="6" cm="1">
        <f t="array" ref="S246">$Y$2+MMULT(C246:R246,$Y$3:$Y$18)</f>
        <v>-15.048938346874875</v>
      </c>
      <c r="T246" s="7">
        <f t="shared" si="7"/>
        <v>2.9129229079327722E-7</v>
      </c>
      <c r="U246" s="3">
        <f t="shared" si="6"/>
        <v>0</v>
      </c>
    </row>
    <row r="247" spans="1:21">
      <c r="A247" s="2">
        <v>246</v>
      </c>
      <c r="B247" s="2">
        <v>1</v>
      </c>
      <c r="C247" s="8">
        <f>(data!C247-AVERAGE(data!C:C))/_xlfn.STDEV.S(data!C:C)</f>
        <v>1.6335927317231704</v>
      </c>
      <c r="D247" s="2">
        <v>1</v>
      </c>
      <c r="E247" s="2">
        <v>0</v>
      </c>
      <c r="F247" s="2">
        <v>0</v>
      </c>
      <c r="G247" s="2">
        <v>1</v>
      </c>
      <c r="H247" s="2">
        <v>0</v>
      </c>
      <c r="I247" s="2">
        <v>0</v>
      </c>
      <c r="J247" s="8">
        <f>(data!J247-AVERAGE(data!J:J))/_xlfn.STDEV.S(data!J:J)</f>
        <v>0.32466018218288056</v>
      </c>
      <c r="K247" s="2">
        <v>1</v>
      </c>
      <c r="L247" s="2">
        <v>0</v>
      </c>
      <c r="M247" s="2">
        <v>0</v>
      </c>
      <c r="N247" s="2">
        <v>0</v>
      </c>
      <c r="O247" s="2">
        <v>1</v>
      </c>
      <c r="P247" s="2">
        <v>1</v>
      </c>
      <c r="Q247" s="2">
        <v>1</v>
      </c>
      <c r="R247" s="2">
        <v>0</v>
      </c>
      <c r="S247" s="6" cm="1">
        <f t="array" ref="S247">$Y$2+MMULT(C247:R247,$Y$3:$Y$18)</f>
        <v>4.7497969345403135</v>
      </c>
      <c r="T247" s="7">
        <f t="shared" si="7"/>
        <v>0.99142078756312124</v>
      </c>
      <c r="U247" s="3">
        <f t="shared" si="6"/>
        <v>1</v>
      </c>
    </row>
    <row r="248" spans="1:21">
      <c r="A248" s="2">
        <v>247</v>
      </c>
      <c r="B248" s="2">
        <v>0</v>
      </c>
      <c r="C248" s="8">
        <f>(data!C248-AVERAGE(data!C:C))/_xlfn.STDEV.S(data!C:C)</f>
        <v>-1.3906695841148498</v>
      </c>
      <c r="D248" s="2">
        <v>1</v>
      </c>
      <c r="E248" s="2">
        <v>0</v>
      </c>
      <c r="F248" s="2">
        <v>1</v>
      </c>
      <c r="G248" s="2">
        <v>0</v>
      </c>
      <c r="H248" s="2">
        <v>0</v>
      </c>
      <c r="I248" s="2">
        <v>0</v>
      </c>
      <c r="J248" s="8">
        <f>(data!J248-AVERAGE(data!J:J))/_xlfn.STDEV.S(data!J:J)</f>
        <v>0.69354245256599156</v>
      </c>
      <c r="K248" s="2">
        <v>1</v>
      </c>
      <c r="L248" s="2">
        <v>0</v>
      </c>
      <c r="M248" s="2">
        <v>0</v>
      </c>
      <c r="N248" s="2">
        <v>0</v>
      </c>
      <c r="O248" s="2">
        <v>1</v>
      </c>
      <c r="P248" s="2">
        <v>1</v>
      </c>
      <c r="Q248" s="2">
        <v>0</v>
      </c>
      <c r="R248" s="2">
        <v>0</v>
      </c>
      <c r="S248" s="6" cm="1">
        <f t="array" ref="S248">$Y$2+MMULT(C248:R248,$Y$3:$Y$18)</f>
        <v>-13.908340064431314</v>
      </c>
      <c r="T248" s="7">
        <f t="shared" si="7"/>
        <v>9.1134803558327645E-7</v>
      </c>
      <c r="U248" s="3">
        <f t="shared" si="6"/>
        <v>0</v>
      </c>
    </row>
    <row r="249" spans="1:21">
      <c r="A249" s="2">
        <v>248</v>
      </c>
      <c r="B249" s="2">
        <v>0</v>
      </c>
      <c r="C249" s="8">
        <f>(data!C249-AVERAGE(data!C:C))/_xlfn.STDEV.S(data!C:C)</f>
        <v>0.5835016498349691</v>
      </c>
      <c r="D249" s="2">
        <v>1</v>
      </c>
      <c r="E249" s="2">
        <v>0</v>
      </c>
      <c r="F249" s="2">
        <v>0</v>
      </c>
      <c r="G249" s="2">
        <v>1</v>
      </c>
      <c r="H249" s="2">
        <v>0</v>
      </c>
      <c r="I249" s="2">
        <v>0</v>
      </c>
      <c r="J249" s="8">
        <f>(data!J249-AVERAGE(data!J:J))/_xlfn.STDEV.S(data!J:J)</f>
        <v>-1.2246453534261856</v>
      </c>
      <c r="K249" s="2">
        <v>0</v>
      </c>
      <c r="L249" s="2">
        <v>0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  <c r="R249" s="2">
        <v>0</v>
      </c>
      <c r="S249" s="6" cm="1">
        <f t="array" ref="S249">$Y$2+MMULT(C249:R249,$Y$3:$Y$18)</f>
        <v>-3.1304609914366455</v>
      </c>
      <c r="T249" s="7">
        <f t="shared" si="7"/>
        <v>4.1868110401072856E-2</v>
      </c>
      <c r="U249" s="3">
        <f t="shared" si="6"/>
        <v>0</v>
      </c>
    </row>
    <row r="250" spans="1:21">
      <c r="A250" s="2">
        <v>249</v>
      </c>
      <c r="B250" s="2">
        <v>1</v>
      </c>
      <c r="C250" s="8">
        <f>(data!C250-AVERAGE(data!C:C))/_xlfn.STDEV.S(data!C:C)</f>
        <v>1.6755963749986986</v>
      </c>
      <c r="D250" s="2">
        <v>1</v>
      </c>
      <c r="E250" s="2">
        <v>1</v>
      </c>
      <c r="F250" s="2">
        <v>1</v>
      </c>
      <c r="G250" s="2">
        <v>0</v>
      </c>
      <c r="H250" s="2">
        <v>0</v>
      </c>
      <c r="I250" s="2">
        <v>0</v>
      </c>
      <c r="J250" s="8">
        <f>(data!J250-AVERAGE(data!J:J))/_xlfn.STDEV.S(data!J:J)</f>
        <v>-1.2246453534261856</v>
      </c>
      <c r="K250" s="2">
        <v>0</v>
      </c>
      <c r="L250" s="2">
        <v>0</v>
      </c>
      <c r="M250" s="2">
        <v>1</v>
      </c>
      <c r="N250" s="2">
        <v>1</v>
      </c>
      <c r="O250" s="2">
        <v>1</v>
      </c>
      <c r="P250" s="2">
        <v>1</v>
      </c>
      <c r="Q250" s="2">
        <v>0</v>
      </c>
      <c r="R250" s="2">
        <v>0</v>
      </c>
      <c r="S250" s="6" cm="1">
        <f t="array" ref="S250">$Y$2+MMULT(C250:R250,$Y$3:$Y$18)</f>
        <v>3.8989747823773371</v>
      </c>
      <c r="T250" s="7">
        <f t="shared" si="7"/>
        <v>0.98013974738171505</v>
      </c>
      <c r="U250" s="3">
        <f t="shared" si="6"/>
        <v>1</v>
      </c>
    </row>
    <row r="251" spans="1:21">
      <c r="A251" s="2">
        <v>250</v>
      </c>
      <c r="B251" s="2">
        <v>0</v>
      </c>
      <c r="C251" s="8">
        <f>(data!C251-AVERAGE(data!C:C))/_xlfn.STDEV.S(data!C:C)</f>
        <v>-0.84462222153298494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8">
        <f>(data!J251-AVERAGE(data!J:J))/_xlfn.STDEV.S(data!J:J)</f>
        <v>-0.63443372081320804</v>
      </c>
      <c r="K251" s="2">
        <v>0</v>
      </c>
      <c r="L251" s="2">
        <v>1</v>
      </c>
      <c r="M251" s="2">
        <v>0</v>
      </c>
      <c r="N251" s="2">
        <v>0</v>
      </c>
      <c r="O251" s="2">
        <v>1</v>
      </c>
      <c r="P251" s="2">
        <v>1</v>
      </c>
      <c r="Q251" s="2">
        <v>0</v>
      </c>
      <c r="R251" s="2">
        <v>0</v>
      </c>
      <c r="S251" s="6" cm="1">
        <f t="array" ref="S251">$Y$2+MMULT(C251:R251,$Y$3:$Y$18)</f>
        <v>-11.916485746815454</v>
      </c>
      <c r="T251" s="7">
        <f t="shared" si="7"/>
        <v>6.6793329968589545E-6</v>
      </c>
      <c r="U251" s="3">
        <f t="shared" si="6"/>
        <v>0</v>
      </c>
    </row>
    <row r="252" spans="1:21">
      <c r="A252" s="2">
        <v>251</v>
      </c>
      <c r="B252" s="2">
        <v>0</v>
      </c>
      <c r="C252" s="8">
        <f>(data!C252-AVERAGE(data!C:C))/_xlfn.STDEV.S(data!C:C)</f>
        <v>-4.6552999297951793E-2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8">
        <f>(data!J252-AVERAGE(data!J:J))/_xlfn.STDEV.S(data!J:J)</f>
        <v>0.39843663625950276</v>
      </c>
      <c r="K252" s="2">
        <v>0</v>
      </c>
      <c r="L252" s="2">
        <v>1</v>
      </c>
      <c r="M252" s="2">
        <v>0</v>
      </c>
      <c r="N252" s="2">
        <v>1</v>
      </c>
      <c r="O252" s="2">
        <v>0</v>
      </c>
      <c r="P252" s="2">
        <v>0</v>
      </c>
      <c r="Q252" s="2">
        <v>0</v>
      </c>
      <c r="R252" s="2">
        <v>0</v>
      </c>
      <c r="S252" s="6" cm="1">
        <f t="array" ref="S252">$Y$2+MMULT(C252:R252,$Y$3:$Y$18)</f>
        <v>-5.471988348575703</v>
      </c>
      <c r="T252" s="7">
        <f t="shared" si="7"/>
        <v>4.1852769170616375E-3</v>
      </c>
      <c r="U252" s="3">
        <f t="shared" si="6"/>
        <v>0</v>
      </c>
    </row>
    <row r="253" spans="1:21">
      <c r="A253" s="2">
        <v>252</v>
      </c>
      <c r="B253" s="2">
        <v>0</v>
      </c>
      <c r="C253" s="8">
        <f>(data!C253-AVERAGE(data!C:C))/_xlfn.STDEV.S(data!C:C)</f>
        <v>1.6755963749986986</v>
      </c>
      <c r="D253" s="2">
        <v>0</v>
      </c>
      <c r="E253" s="2">
        <v>1</v>
      </c>
      <c r="F253" s="2">
        <v>1</v>
      </c>
      <c r="G253" s="2">
        <v>1</v>
      </c>
      <c r="H253" s="2">
        <v>0</v>
      </c>
      <c r="I253" s="2">
        <v>0</v>
      </c>
      <c r="J253" s="8">
        <f>(data!J253-AVERAGE(data!J:J))/_xlfn.STDEV.S(data!J:J)</f>
        <v>2.0952950800218133</v>
      </c>
      <c r="K253" s="2">
        <v>1</v>
      </c>
      <c r="L253" s="2">
        <v>1</v>
      </c>
      <c r="M253" s="2">
        <v>1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  <c r="S253" s="6" cm="1">
        <f t="array" ref="S253">$Y$2+MMULT(C253:R253,$Y$3:$Y$18)</f>
        <v>6.0720772635099642</v>
      </c>
      <c r="T253" s="7">
        <f t="shared" si="7"/>
        <v>0.99769892985813047</v>
      </c>
      <c r="U253" s="3">
        <f t="shared" si="6"/>
        <v>1</v>
      </c>
    </row>
    <row r="254" spans="1:21">
      <c r="A254" s="2">
        <v>253</v>
      </c>
      <c r="B254" s="2">
        <v>0</v>
      </c>
      <c r="C254" s="8">
        <f>(data!C254-AVERAGE(data!C:C))/_xlfn.STDEV.S(data!C:C)</f>
        <v>0.5835016498349691</v>
      </c>
      <c r="D254" s="2">
        <v>1</v>
      </c>
      <c r="E254" s="2">
        <v>1</v>
      </c>
      <c r="F254" s="2">
        <v>0</v>
      </c>
      <c r="G254" s="2">
        <v>0</v>
      </c>
      <c r="H254" s="2">
        <v>0</v>
      </c>
      <c r="I254" s="2">
        <v>0</v>
      </c>
      <c r="J254" s="8">
        <f>(data!J254-AVERAGE(data!J:J))/_xlfn.STDEV.S(data!J:J)</f>
        <v>0.69354245256599156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0</v>
      </c>
      <c r="R254" s="2">
        <v>0</v>
      </c>
      <c r="S254" s="6" cm="1">
        <f t="array" ref="S254">$Y$2+MMULT(C254:R254,$Y$3:$Y$18)</f>
        <v>-1.4658422529483617</v>
      </c>
      <c r="T254" s="7">
        <f t="shared" si="7"/>
        <v>0.18757539375799154</v>
      </c>
      <c r="U254" s="3">
        <f t="shared" si="6"/>
        <v>0</v>
      </c>
    </row>
    <row r="255" spans="1:21">
      <c r="A255" s="2">
        <v>254</v>
      </c>
      <c r="B255" s="2">
        <v>0</v>
      </c>
      <c r="C255" s="8">
        <f>(data!C255-AVERAGE(data!C:C))/_xlfn.STDEV.S(data!C:C)</f>
        <v>0.5835016498349691</v>
      </c>
      <c r="D255" s="2">
        <v>0</v>
      </c>
      <c r="E255" s="2">
        <v>1</v>
      </c>
      <c r="F255" s="2">
        <v>0</v>
      </c>
      <c r="G255" s="2">
        <v>1</v>
      </c>
      <c r="H255" s="2">
        <v>0</v>
      </c>
      <c r="I255" s="2">
        <v>0</v>
      </c>
      <c r="J255" s="8">
        <f>(data!J255-AVERAGE(data!J:J))/_xlfn.STDEV.S(data!J:J)</f>
        <v>0.69354245256599156</v>
      </c>
      <c r="K255" s="2">
        <v>0</v>
      </c>
      <c r="L255" s="2">
        <v>0</v>
      </c>
      <c r="M255" s="2">
        <v>1</v>
      </c>
      <c r="N255" s="2">
        <v>1</v>
      </c>
      <c r="O255" s="2">
        <v>1</v>
      </c>
      <c r="P255" s="2">
        <v>1</v>
      </c>
      <c r="Q255" s="2">
        <v>0</v>
      </c>
      <c r="R255" s="2">
        <v>0</v>
      </c>
      <c r="S255" s="6" cm="1">
        <f t="array" ref="S255">$Y$2+MMULT(C255:R255,$Y$3:$Y$18)</f>
        <v>-1.7869043155270385</v>
      </c>
      <c r="T255" s="7">
        <f t="shared" si="7"/>
        <v>0.14345268296042099</v>
      </c>
      <c r="U255" s="3">
        <f t="shared" si="6"/>
        <v>0</v>
      </c>
    </row>
    <row r="256" spans="1:21">
      <c r="A256" s="2">
        <v>255</v>
      </c>
      <c r="B256" s="2">
        <v>0</v>
      </c>
      <c r="C256" s="8">
        <f>(data!C256-AVERAGE(data!C:C))/_xlfn.STDEV.S(data!C:C)</f>
        <v>0.79351986621260939</v>
      </c>
      <c r="D256" s="2">
        <v>1</v>
      </c>
      <c r="E256" s="2">
        <v>1</v>
      </c>
      <c r="F256" s="2">
        <v>1</v>
      </c>
      <c r="G256" s="2">
        <v>1</v>
      </c>
      <c r="H256" s="2">
        <v>0</v>
      </c>
      <c r="I256" s="2">
        <v>0</v>
      </c>
      <c r="J256" s="8">
        <f>(data!J256-AVERAGE(data!J:J))/_xlfn.STDEV.S(data!J:J)</f>
        <v>-4.4222088200230422E-2</v>
      </c>
      <c r="K256" s="2">
        <v>1</v>
      </c>
      <c r="L256" s="2">
        <v>0</v>
      </c>
      <c r="M256" s="2">
        <v>1</v>
      </c>
      <c r="N256" s="2">
        <v>0</v>
      </c>
      <c r="O256" s="2">
        <v>1</v>
      </c>
      <c r="P256" s="2">
        <v>1</v>
      </c>
      <c r="Q256" s="2">
        <v>0</v>
      </c>
      <c r="R256" s="2">
        <v>0</v>
      </c>
      <c r="S256" s="6" cm="1">
        <f t="array" ref="S256">$Y$2+MMULT(C256:R256,$Y$3:$Y$18)</f>
        <v>-0.69313356074490651</v>
      </c>
      <c r="T256" s="7">
        <f t="shared" si="7"/>
        <v>0.33333635996576783</v>
      </c>
      <c r="U256" s="3">
        <f t="shared" si="6"/>
        <v>0</v>
      </c>
    </row>
    <row r="257" spans="1:21">
      <c r="A257" s="2">
        <v>256</v>
      </c>
      <c r="B257" s="2">
        <v>0</v>
      </c>
      <c r="C257" s="8">
        <f>(data!C257-AVERAGE(data!C:C))/_xlfn.STDEV.S(data!C:C)</f>
        <v>-4.5493560224237357E-3</v>
      </c>
      <c r="D257" s="2">
        <v>1</v>
      </c>
      <c r="E257" s="2">
        <v>1</v>
      </c>
      <c r="F257" s="2">
        <v>1</v>
      </c>
      <c r="G257" s="2">
        <v>0</v>
      </c>
      <c r="H257" s="2">
        <v>0</v>
      </c>
      <c r="I257" s="2">
        <v>0</v>
      </c>
      <c r="J257" s="8">
        <f>(data!J257-AVERAGE(data!J:J))/_xlfn.STDEV.S(data!J:J)</f>
        <v>0.54598954441274716</v>
      </c>
      <c r="K257" s="2">
        <v>1</v>
      </c>
      <c r="L257" s="2">
        <v>0</v>
      </c>
      <c r="M257" s="2">
        <v>1</v>
      </c>
      <c r="N257" s="2">
        <v>1</v>
      </c>
      <c r="O257" s="2">
        <v>1</v>
      </c>
      <c r="P257" s="2">
        <v>1</v>
      </c>
      <c r="Q257" s="2">
        <v>0</v>
      </c>
      <c r="R257" s="2">
        <v>0</v>
      </c>
      <c r="S257" s="6" cm="1">
        <f t="array" ref="S257">$Y$2+MMULT(C257:R257,$Y$3:$Y$18)</f>
        <v>-4.8238682706475959</v>
      </c>
      <c r="T257" s="7">
        <f t="shared" si="7"/>
        <v>7.9715860801190998E-3</v>
      </c>
      <c r="U257" s="3">
        <f t="shared" si="6"/>
        <v>0</v>
      </c>
    </row>
    <row r="258" spans="1:21">
      <c r="A258" s="2">
        <v>257</v>
      </c>
      <c r="B258" s="2">
        <v>1</v>
      </c>
      <c r="C258" s="8">
        <f>(data!C258-AVERAGE(data!C:C))/_xlfn.STDEV.S(data!C:C)</f>
        <v>1.6755963749986986</v>
      </c>
      <c r="D258" s="2">
        <v>0</v>
      </c>
      <c r="E258" s="2">
        <v>1</v>
      </c>
      <c r="F258" s="2">
        <v>0</v>
      </c>
      <c r="G258" s="2">
        <v>1</v>
      </c>
      <c r="H258" s="2">
        <v>0</v>
      </c>
      <c r="I258" s="2">
        <v>0</v>
      </c>
      <c r="J258" s="8">
        <f>(data!J258-AVERAGE(data!J:J))/_xlfn.STDEV.S(data!J:J)</f>
        <v>2.9554365876391778E-2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0</v>
      </c>
      <c r="R258" s="2">
        <v>0</v>
      </c>
      <c r="S258" s="6" cm="1">
        <f t="array" ref="S258">$Y$2+MMULT(C258:R258,$Y$3:$Y$18)</f>
        <v>3.7322708550050496</v>
      </c>
      <c r="T258" s="7">
        <f t="shared" si="7"/>
        <v>0.97662123708987691</v>
      </c>
      <c r="U258" s="3">
        <f t="shared" ref="U258:U321" si="8">IF(T258&gt;=cut,1,0)</f>
        <v>1</v>
      </c>
    </row>
    <row r="259" spans="1:21">
      <c r="A259" s="2">
        <v>258</v>
      </c>
      <c r="B259" s="2">
        <v>1</v>
      </c>
      <c r="C259" s="8">
        <f>(data!C259-AVERAGE(data!C:C))/_xlfn.STDEV.S(data!C:C)</f>
        <v>1.6755963749986986</v>
      </c>
      <c r="D259" s="2">
        <v>1</v>
      </c>
      <c r="E259" s="2">
        <v>0</v>
      </c>
      <c r="F259" s="2">
        <v>1</v>
      </c>
      <c r="G259" s="2">
        <v>1</v>
      </c>
      <c r="H259" s="2">
        <v>0</v>
      </c>
      <c r="I259" s="2">
        <v>0</v>
      </c>
      <c r="J259" s="8">
        <f>(data!J259-AVERAGE(data!J:J))/_xlfn.STDEV.S(data!J:J)</f>
        <v>-4.4222088200230422E-2</v>
      </c>
      <c r="K259" s="2">
        <v>0</v>
      </c>
      <c r="L259" s="2">
        <v>0</v>
      </c>
      <c r="M259" s="2">
        <v>1</v>
      </c>
      <c r="N259" s="2">
        <v>1</v>
      </c>
      <c r="O259" s="2">
        <v>1</v>
      </c>
      <c r="P259" s="2">
        <v>1</v>
      </c>
      <c r="Q259" s="2">
        <v>0</v>
      </c>
      <c r="R259" s="2">
        <v>0</v>
      </c>
      <c r="S259" s="6" cm="1">
        <f t="array" ref="S259">$Y$2+MMULT(C259:R259,$Y$3:$Y$18)</f>
        <v>3.9854047424133121</v>
      </c>
      <c r="T259" s="7">
        <f t="shared" ref="T259:T322" si="9">EXP(S259)/(1+EXP(S259))</f>
        <v>0.98175417648835039</v>
      </c>
      <c r="U259" s="3">
        <f t="shared" si="8"/>
        <v>1</v>
      </c>
    </row>
    <row r="260" spans="1:21">
      <c r="A260" s="2">
        <v>259</v>
      </c>
      <c r="B260" s="2">
        <v>0</v>
      </c>
      <c r="C260" s="8">
        <f>(data!C260-AVERAGE(data!C:C))/_xlfn.STDEV.S(data!C:C)</f>
        <v>-1.0546404379106251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8">
        <f>(data!J260-AVERAGE(data!J:J))/_xlfn.STDEV.S(data!J:J)</f>
        <v>-1.003315991196319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1</v>
      </c>
      <c r="Q260" s="2">
        <v>0</v>
      </c>
      <c r="R260" s="2">
        <v>0</v>
      </c>
      <c r="S260" s="6" cm="1">
        <f t="array" ref="S260">$Y$2+MMULT(C260:R260,$Y$3:$Y$18)</f>
        <v>-14.25287774610179</v>
      </c>
      <c r="T260" s="7">
        <f t="shared" si="9"/>
        <v>6.4573386493324993E-7</v>
      </c>
      <c r="U260" s="3">
        <f t="shared" si="8"/>
        <v>0</v>
      </c>
    </row>
    <row r="261" spans="1:21">
      <c r="A261" s="2">
        <v>260</v>
      </c>
      <c r="B261" s="2">
        <v>1</v>
      </c>
      <c r="C261" s="8">
        <f>(data!C261-AVERAGE(data!C:C))/_xlfn.STDEV.S(data!C:C)</f>
        <v>1.6755963749986986</v>
      </c>
      <c r="D261" s="2">
        <v>1</v>
      </c>
      <c r="E261" s="2">
        <v>1</v>
      </c>
      <c r="F261" s="2">
        <v>1</v>
      </c>
      <c r="G261" s="2">
        <v>1</v>
      </c>
      <c r="H261" s="2">
        <v>0</v>
      </c>
      <c r="I261" s="2">
        <v>0</v>
      </c>
      <c r="J261" s="8">
        <f>(data!J261-AVERAGE(data!J:J))/_xlfn.STDEV.S(data!J:J)</f>
        <v>-0.92953953711969683</v>
      </c>
      <c r="K261" s="2">
        <v>1</v>
      </c>
      <c r="L261" s="2">
        <v>0</v>
      </c>
      <c r="M261" s="2">
        <v>1</v>
      </c>
      <c r="N261" s="2">
        <v>0</v>
      </c>
      <c r="O261" s="2">
        <v>1</v>
      </c>
      <c r="P261" s="2">
        <v>1</v>
      </c>
      <c r="Q261" s="2">
        <v>1</v>
      </c>
      <c r="R261" s="2">
        <v>1</v>
      </c>
      <c r="S261" s="6" cm="1">
        <f t="array" ref="S261">$Y$2+MMULT(C261:R261,$Y$3:$Y$18)</f>
        <v>5.2461352804490318</v>
      </c>
      <c r="T261" s="7">
        <f t="shared" si="9"/>
        <v>0.99475976687299628</v>
      </c>
      <c r="U261" s="3">
        <f t="shared" si="8"/>
        <v>1</v>
      </c>
    </row>
    <row r="262" spans="1:21">
      <c r="A262" s="2">
        <v>261</v>
      </c>
      <c r="B262" s="2">
        <v>0</v>
      </c>
      <c r="C262" s="8">
        <f>(data!C262-AVERAGE(data!C:C))/_xlfn.STDEV.S(data!C:C)</f>
        <v>-0.92862950808404099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8">
        <f>(data!J262-AVERAGE(data!J:J))/_xlfn.STDEV.S(data!J:J)</f>
        <v>1.2099776311023469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1</v>
      </c>
      <c r="Q262" s="2">
        <v>0</v>
      </c>
      <c r="R262" s="2">
        <v>0</v>
      </c>
      <c r="S262" s="6" cm="1">
        <f t="array" ref="S262">$Y$2+MMULT(C262:R262,$Y$3:$Y$18)</f>
        <v>-10.486651334052214</v>
      </c>
      <c r="T262" s="7">
        <f t="shared" si="9"/>
        <v>2.7905709732867747E-5</v>
      </c>
      <c r="U262" s="3">
        <f t="shared" si="8"/>
        <v>0</v>
      </c>
    </row>
    <row r="263" spans="1:21">
      <c r="A263" s="2">
        <v>262</v>
      </c>
      <c r="B263" s="2">
        <v>0</v>
      </c>
      <c r="C263" s="8">
        <f>(data!C263-AVERAGE(data!C:C))/_xlfn.STDEV.S(data!C:C)</f>
        <v>1.0455417258657778</v>
      </c>
      <c r="D263" s="2">
        <v>1</v>
      </c>
      <c r="E263" s="2">
        <v>1</v>
      </c>
      <c r="F263" s="2">
        <v>1</v>
      </c>
      <c r="G263" s="2">
        <v>1</v>
      </c>
      <c r="H263" s="2">
        <v>0</v>
      </c>
      <c r="I263" s="2">
        <v>0</v>
      </c>
      <c r="J263" s="8">
        <f>(data!J263-AVERAGE(data!J:J))/_xlfn.STDEV.S(data!J:J)</f>
        <v>-1.1508688993495635</v>
      </c>
      <c r="K263" s="2">
        <v>1</v>
      </c>
      <c r="L263" s="2">
        <v>0</v>
      </c>
      <c r="M263" s="2">
        <v>1</v>
      </c>
      <c r="N263" s="2">
        <v>1</v>
      </c>
      <c r="O263" s="2">
        <v>1</v>
      </c>
      <c r="P263" s="2">
        <v>1</v>
      </c>
      <c r="Q263" s="2">
        <v>0</v>
      </c>
      <c r="R263" s="2">
        <v>0</v>
      </c>
      <c r="S263" s="6" cm="1">
        <f t="array" ref="S263">$Y$2+MMULT(C263:R263,$Y$3:$Y$18)</f>
        <v>-0.30961674705032438</v>
      </c>
      <c r="T263" s="7">
        <f t="shared" si="9"/>
        <v>0.42320828932104548</v>
      </c>
      <c r="U263" s="3">
        <f t="shared" si="8"/>
        <v>0</v>
      </c>
    </row>
    <row r="264" spans="1:21">
      <c r="A264" s="2">
        <v>263</v>
      </c>
      <c r="B264" s="2">
        <v>0</v>
      </c>
      <c r="C264" s="8">
        <f>(data!C264-AVERAGE(data!C:C))/_xlfn.STDEV.S(data!C:C)</f>
        <v>-1.3066622975637936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8">
        <f>(data!J264-AVERAGE(data!J:J))/_xlfn.STDEV.S(data!J:J)</f>
        <v>-0.11799854227685262</v>
      </c>
      <c r="K264" s="2">
        <v>0</v>
      </c>
      <c r="L264" s="2">
        <v>1</v>
      </c>
      <c r="M264" s="2">
        <v>0</v>
      </c>
      <c r="N264" s="2">
        <v>1</v>
      </c>
      <c r="O264" s="2">
        <v>0</v>
      </c>
      <c r="P264" s="2">
        <v>1</v>
      </c>
      <c r="Q264" s="2">
        <v>0</v>
      </c>
      <c r="R264" s="2">
        <v>0</v>
      </c>
      <c r="S264" s="6" cm="1">
        <f t="array" ref="S264">$Y$2+MMULT(C264:R264,$Y$3:$Y$18)</f>
        <v>-16.528287386900193</v>
      </c>
      <c r="T264" s="7">
        <f t="shared" si="9"/>
        <v>6.6352297270225734E-8</v>
      </c>
      <c r="U264" s="3">
        <f t="shared" si="8"/>
        <v>0</v>
      </c>
    </row>
    <row r="265" spans="1:21">
      <c r="A265" s="2">
        <v>264</v>
      </c>
      <c r="B265" s="2">
        <v>1</v>
      </c>
      <c r="C265" s="8">
        <f>(data!C265-AVERAGE(data!C:C))/_xlfn.STDEV.S(data!C:C)</f>
        <v>1.6755963749986986</v>
      </c>
      <c r="D265" s="2">
        <v>0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8">
        <f>(data!J265-AVERAGE(data!J:J))/_xlfn.STDEV.S(data!J:J)</f>
        <v>-1.003315991196319</v>
      </c>
      <c r="K265" s="2">
        <v>0</v>
      </c>
      <c r="L265" s="2">
        <v>1</v>
      </c>
      <c r="M265" s="2">
        <v>0</v>
      </c>
      <c r="N265" s="2">
        <v>1</v>
      </c>
      <c r="O265" s="2">
        <v>0</v>
      </c>
      <c r="P265" s="2">
        <v>1</v>
      </c>
      <c r="Q265" s="2">
        <v>1</v>
      </c>
      <c r="R265" s="2">
        <v>0</v>
      </c>
      <c r="S265" s="6" cm="1">
        <f t="array" ref="S265">$Y$2+MMULT(C265:R265,$Y$3:$Y$18)</f>
        <v>0.79186453616872132</v>
      </c>
      <c r="T265" s="7">
        <f t="shared" si="9"/>
        <v>0.6882315423765123</v>
      </c>
      <c r="U265" s="3">
        <f t="shared" si="8"/>
        <v>1</v>
      </c>
    </row>
    <row r="266" spans="1:21">
      <c r="A266" s="2">
        <v>265</v>
      </c>
      <c r="B266" s="2">
        <v>0</v>
      </c>
      <c r="C266" s="8">
        <f>(data!C266-AVERAGE(data!C:C))/_xlfn.STDEV.S(data!C:C)</f>
        <v>0.45749072000838492</v>
      </c>
      <c r="D266" s="2">
        <v>0</v>
      </c>
      <c r="E266" s="2">
        <v>1</v>
      </c>
      <c r="F266" s="2">
        <v>1</v>
      </c>
      <c r="G266" s="2">
        <v>0</v>
      </c>
      <c r="H266" s="2">
        <v>0</v>
      </c>
      <c r="I266" s="2">
        <v>0</v>
      </c>
      <c r="J266" s="8">
        <f>(data!J266-AVERAGE(data!J:J))/_xlfn.STDEV.S(data!J:J)</f>
        <v>-0.78198662896645244</v>
      </c>
      <c r="K266" s="2">
        <v>1</v>
      </c>
      <c r="L266" s="2">
        <v>1</v>
      </c>
      <c r="M266" s="2">
        <v>0</v>
      </c>
      <c r="N266" s="2">
        <v>0</v>
      </c>
      <c r="O266" s="2">
        <v>1</v>
      </c>
      <c r="P266" s="2">
        <v>1</v>
      </c>
      <c r="Q266" s="2">
        <v>0</v>
      </c>
      <c r="R266" s="2">
        <v>0</v>
      </c>
      <c r="S266" s="6" cm="1">
        <f t="array" ref="S266">$Y$2+MMULT(C266:R266,$Y$3:$Y$18)</f>
        <v>-4.908089899174362</v>
      </c>
      <c r="T266" s="7">
        <f t="shared" si="9"/>
        <v>7.3324224310889804E-3</v>
      </c>
      <c r="U266" s="3">
        <f t="shared" si="8"/>
        <v>0</v>
      </c>
    </row>
    <row r="267" spans="1:21">
      <c r="A267" s="2">
        <v>266</v>
      </c>
      <c r="B267" s="2">
        <v>1</v>
      </c>
      <c r="C267" s="8">
        <f>(data!C267-AVERAGE(data!C:C))/_xlfn.STDEV.S(data!C:C)</f>
        <v>1.6755963749986986</v>
      </c>
      <c r="D267" s="2">
        <v>0</v>
      </c>
      <c r="E267" s="2">
        <v>0</v>
      </c>
      <c r="F267" s="2">
        <v>1</v>
      </c>
      <c r="G267" s="2">
        <v>1</v>
      </c>
      <c r="H267" s="2">
        <v>0</v>
      </c>
      <c r="I267" s="2">
        <v>0</v>
      </c>
      <c r="J267" s="8">
        <f>(data!J267-AVERAGE(data!J:J))/_xlfn.STDEV.S(data!J:J)</f>
        <v>-4.4222088200230422E-2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0</v>
      </c>
      <c r="R267" s="2">
        <v>1</v>
      </c>
      <c r="S267" s="6" cm="1">
        <f t="array" ref="S267">$Y$2+MMULT(C267:R267,$Y$3:$Y$18)</f>
        <v>4.0255705400903832</v>
      </c>
      <c r="T267" s="7">
        <f t="shared" si="9"/>
        <v>0.98245991205600935</v>
      </c>
      <c r="U267" s="3">
        <f t="shared" si="8"/>
        <v>1</v>
      </c>
    </row>
    <row r="268" spans="1:21">
      <c r="A268" s="2">
        <v>267</v>
      </c>
      <c r="B268" s="2">
        <v>0</v>
      </c>
      <c r="C268" s="8">
        <f>(data!C268-AVERAGE(data!C:C))/_xlfn.STDEV.S(data!C:C)</f>
        <v>-0.76061493498192878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8">
        <f>(data!J268-AVERAGE(data!J:J))/_xlfn.STDEV.S(data!J:J)</f>
        <v>0.39843663625950276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1</v>
      </c>
      <c r="Q268" s="2">
        <v>0</v>
      </c>
      <c r="R268" s="2">
        <v>0</v>
      </c>
      <c r="S268" s="6" cm="1">
        <f t="array" ref="S268">$Y$2+MMULT(C268:R268,$Y$3:$Y$18)</f>
        <v>-10.145852670616488</v>
      </c>
      <c r="T268" s="7">
        <f t="shared" si="9"/>
        <v>3.923693998559817E-5</v>
      </c>
      <c r="U268" s="3">
        <f t="shared" si="8"/>
        <v>0</v>
      </c>
    </row>
    <row r="269" spans="1:21">
      <c r="A269" s="2">
        <v>268</v>
      </c>
      <c r="B269" s="2">
        <v>1</v>
      </c>
      <c r="C269" s="8">
        <f>(data!C269-AVERAGE(data!C:C))/_xlfn.STDEV.S(data!C:C)</f>
        <v>1.4235745153455301</v>
      </c>
      <c r="D269" s="2">
        <v>0</v>
      </c>
      <c r="E269" s="2">
        <v>0</v>
      </c>
      <c r="F269" s="2">
        <v>1</v>
      </c>
      <c r="G269" s="2">
        <v>1</v>
      </c>
      <c r="H269" s="2">
        <v>0</v>
      </c>
      <c r="I269" s="2">
        <v>0</v>
      </c>
      <c r="J269" s="8">
        <f>(data!J269-AVERAGE(data!J:J))/_xlfn.STDEV.S(data!J:J)</f>
        <v>0.25088372810625836</v>
      </c>
      <c r="K269" s="2">
        <v>0</v>
      </c>
      <c r="L269" s="2">
        <v>0</v>
      </c>
      <c r="M269" s="2">
        <v>1</v>
      </c>
      <c r="N269" s="2">
        <v>1</v>
      </c>
      <c r="O269" s="2">
        <v>1</v>
      </c>
      <c r="P269" s="2">
        <v>1</v>
      </c>
      <c r="Q269" s="2">
        <v>0</v>
      </c>
      <c r="R269" s="2">
        <v>0</v>
      </c>
      <c r="S269" s="6" cm="1">
        <f t="array" ref="S269">$Y$2+MMULT(C269:R269,$Y$3:$Y$18)</f>
        <v>2.4792272510040565</v>
      </c>
      <c r="T269" s="7">
        <f t="shared" si="9"/>
        <v>0.92267268192417573</v>
      </c>
      <c r="U269" s="3">
        <f t="shared" si="8"/>
        <v>1</v>
      </c>
    </row>
    <row r="270" spans="1:21">
      <c r="A270" s="2">
        <v>269</v>
      </c>
      <c r="B270" s="2">
        <v>0</v>
      </c>
      <c r="C270" s="8">
        <f>(data!C270-AVERAGE(data!C:C))/_xlfn.STDEV.S(data!C:C)</f>
        <v>-1.0546404379106251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1</v>
      </c>
      <c r="J270" s="8">
        <f>(data!J270-AVERAGE(data!J:J))/_xlfn.STDEV.S(data!J:J)</f>
        <v>-0.19177499635347484</v>
      </c>
      <c r="K270" s="2">
        <v>0</v>
      </c>
      <c r="L270" s="2">
        <v>1</v>
      </c>
      <c r="M270" s="2">
        <v>0</v>
      </c>
      <c r="N270" s="2">
        <v>1</v>
      </c>
      <c r="O270" s="2">
        <v>1</v>
      </c>
      <c r="P270" s="2">
        <v>1</v>
      </c>
      <c r="Q270" s="2">
        <v>0</v>
      </c>
      <c r="R270" s="2">
        <v>0</v>
      </c>
      <c r="S270" s="6" cm="1">
        <f t="array" ref="S270">$Y$2+MMULT(C270:R270,$Y$3:$Y$18)</f>
        <v>-12.701761769693798</v>
      </c>
      <c r="T270" s="7">
        <f t="shared" si="9"/>
        <v>3.045745633213358E-6</v>
      </c>
      <c r="U270" s="3">
        <f t="shared" si="8"/>
        <v>0</v>
      </c>
    </row>
    <row r="271" spans="1:21">
      <c r="A271" s="2">
        <v>270</v>
      </c>
      <c r="B271" s="2">
        <v>1</v>
      </c>
      <c r="C271" s="8">
        <f>(data!C271-AVERAGE(data!C:C))/_xlfn.STDEV.S(data!C:C)</f>
        <v>1.6755963749986986</v>
      </c>
      <c r="D271" s="2">
        <v>0</v>
      </c>
      <c r="E271" s="2">
        <v>1</v>
      </c>
      <c r="F271" s="2">
        <v>1</v>
      </c>
      <c r="G271" s="2">
        <v>1</v>
      </c>
      <c r="H271" s="2">
        <v>0</v>
      </c>
      <c r="I271" s="2">
        <v>0</v>
      </c>
      <c r="J271" s="8">
        <f>(data!J271-AVERAGE(data!J:J))/_xlfn.STDEV.S(data!J:J)</f>
        <v>-1.1508688993495635</v>
      </c>
      <c r="K271" s="2">
        <v>1</v>
      </c>
      <c r="L271" s="2">
        <v>0</v>
      </c>
      <c r="M271" s="2">
        <v>0</v>
      </c>
      <c r="N271" s="2">
        <v>1</v>
      </c>
      <c r="O271" s="2">
        <v>1</v>
      </c>
      <c r="P271" s="2">
        <v>1</v>
      </c>
      <c r="Q271" s="2">
        <v>0</v>
      </c>
      <c r="R271" s="2">
        <v>0</v>
      </c>
      <c r="S271" s="6" cm="1">
        <f t="array" ref="S271">$Y$2+MMULT(C271:R271,$Y$3:$Y$18)</f>
        <v>1.769622418636402</v>
      </c>
      <c r="T271" s="7">
        <f t="shared" si="9"/>
        <v>0.85441070885078907</v>
      </c>
      <c r="U271" s="3">
        <f t="shared" si="8"/>
        <v>1</v>
      </c>
    </row>
    <row r="272" spans="1:21">
      <c r="A272" s="2">
        <v>271</v>
      </c>
      <c r="B272" s="2">
        <v>0</v>
      </c>
      <c r="C272" s="8">
        <f>(data!C272-AVERAGE(data!C:C))/_xlfn.STDEV.S(data!C:C)</f>
        <v>-1.2646586542882654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8">
        <f>(data!J272-AVERAGE(data!J:J))/_xlfn.STDEV.S(data!J:J)</f>
        <v>-0.78198662896645244</v>
      </c>
      <c r="K272" s="2">
        <v>0</v>
      </c>
      <c r="L272" s="2">
        <v>1</v>
      </c>
      <c r="M272" s="2">
        <v>0</v>
      </c>
      <c r="N272" s="2">
        <v>1</v>
      </c>
      <c r="O272" s="2">
        <v>1</v>
      </c>
      <c r="P272" s="2">
        <v>1</v>
      </c>
      <c r="Q272" s="2">
        <v>0</v>
      </c>
      <c r="R272" s="2">
        <v>0</v>
      </c>
      <c r="S272" s="6" cm="1">
        <f t="array" ref="S272">$Y$2+MMULT(C272:R272,$Y$3:$Y$18)</f>
        <v>-14.969531436536888</v>
      </c>
      <c r="T272" s="7">
        <f t="shared" si="9"/>
        <v>3.153660681016533E-7</v>
      </c>
      <c r="U272" s="3">
        <f t="shared" si="8"/>
        <v>0</v>
      </c>
    </row>
    <row r="273" spans="1:21">
      <c r="A273" s="2">
        <v>272</v>
      </c>
      <c r="B273" s="2">
        <v>0</v>
      </c>
      <c r="C273" s="8">
        <f>(data!C273-AVERAGE(data!C:C))/_xlfn.STDEV.S(data!C:C)</f>
        <v>3.7454287253104325E-2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8">
        <f>(data!J273-AVERAGE(data!J:J))/_xlfn.STDEV.S(data!J:J)</f>
        <v>0.39843663625950276</v>
      </c>
      <c r="K273" s="2">
        <v>0</v>
      </c>
      <c r="L273" s="2">
        <v>0</v>
      </c>
      <c r="M273" s="2">
        <v>0</v>
      </c>
      <c r="N273" s="2">
        <v>1</v>
      </c>
      <c r="O273" s="2">
        <v>1</v>
      </c>
      <c r="P273" s="2">
        <v>1</v>
      </c>
      <c r="Q273" s="2">
        <v>0</v>
      </c>
      <c r="R273" s="2">
        <v>0</v>
      </c>
      <c r="S273" s="6" cm="1">
        <f t="array" ref="S273">$Y$2+MMULT(C273:R273,$Y$3:$Y$18)</f>
        <v>-5.8514193446770975</v>
      </c>
      <c r="T273" s="7">
        <f t="shared" si="9"/>
        <v>2.8675678947137533E-3</v>
      </c>
      <c r="U273" s="3">
        <f t="shared" si="8"/>
        <v>0</v>
      </c>
    </row>
    <row r="274" spans="1:21">
      <c r="A274" s="2">
        <v>273</v>
      </c>
      <c r="B274" s="2">
        <v>0</v>
      </c>
      <c r="C274" s="8">
        <f>(data!C274-AVERAGE(data!C:C))/_xlfn.STDEV.S(data!C:C)</f>
        <v>0.20546886035521655</v>
      </c>
      <c r="D274" s="2">
        <v>0</v>
      </c>
      <c r="E274" s="2">
        <v>0</v>
      </c>
      <c r="F274" s="2">
        <v>1</v>
      </c>
      <c r="G274" s="2">
        <v>0</v>
      </c>
      <c r="H274" s="2">
        <v>0</v>
      </c>
      <c r="I274" s="2">
        <v>0</v>
      </c>
      <c r="J274" s="8">
        <f>(data!J274-AVERAGE(data!J:J))/_xlfn.STDEV.S(data!J:J)</f>
        <v>0.84109536071923596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6" cm="1">
        <f t="array" ref="S274">$Y$2+MMULT(C274:R274,$Y$3:$Y$18)</f>
        <v>-3.0109549063498835</v>
      </c>
      <c r="T274" s="7">
        <f t="shared" si="9"/>
        <v>4.6933413594907956E-2</v>
      </c>
      <c r="U274" s="3">
        <f t="shared" si="8"/>
        <v>0</v>
      </c>
    </row>
    <row r="275" spans="1:21">
      <c r="A275" s="2">
        <v>274</v>
      </c>
      <c r="B275" s="2">
        <v>0</v>
      </c>
      <c r="C275" s="8">
        <f>(data!C275-AVERAGE(data!C:C))/_xlfn.STDEV.S(data!C:C)</f>
        <v>0.37348343345732876</v>
      </c>
      <c r="D275" s="2">
        <v>1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8">
        <f>(data!J275-AVERAGE(data!J:J))/_xlfn.STDEV.S(data!J:J)</f>
        <v>-0.56065726673658578</v>
      </c>
      <c r="K275" s="2">
        <v>1</v>
      </c>
      <c r="L275" s="2">
        <v>1</v>
      </c>
      <c r="M275" s="2">
        <v>1</v>
      </c>
      <c r="N275" s="2">
        <v>1</v>
      </c>
      <c r="O275" s="2">
        <v>0</v>
      </c>
      <c r="P275" s="2">
        <v>1</v>
      </c>
      <c r="Q275" s="2">
        <v>0</v>
      </c>
      <c r="R275" s="2">
        <v>0</v>
      </c>
      <c r="S275" s="6" cm="1">
        <f t="array" ref="S275">$Y$2+MMULT(C275:R275,$Y$3:$Y$18)</f>
        <v>-5.163826936272347</v>
      </c>
      <c r="T275" s="7">
        <f t="shared" si="9"/>
        <v>5.6872388680815535E-3</v>
      </c>
      <c r="U275" s="3">
        <f t="shared" si="8"/>
        <v>0</v>
      </c>
    </row>
    <row r="276" spans="1:21">
      <c r="A276" s="2">
        <v>275</v>
      </c>
      <c r="B276" s="2">
        <v>0</v>
      </c>
      <c r="C276" s="8">
        <f>(data!C276-AVERAGE(data!C:C))/_xlfn.STDEV.S(data!C:C)</f>
        <v>-0.67660764843087262</v>
      </c>
      <c r="D276" s="2">
        <v>0</v>
      </c>
      <c r="E276" s="2">
        <v>0</v>
      </c>
      <c r="F276" s="2">
        <v>1</v>
      </c>
      <c r="G276" s="2">
        <v>0</v>
      </c>
      <c r="H276" s="2">
        <v>0</v>
      </c>
      <c r="I276" s="2">
        <v>0</v>
      </c>
      <c r="J276" s="8">
        <f>(data!J276-AVERAGE(data!J:J))/_xlfn.STDEV.S(data!J:J)</f>
        <v>-1.0770924452729411</v>
      </c>
      <c r="K276" s="2">
        <v>0</v>
      </c>
      <c r="L276" s="2">
        <v>0</v>
      </c>
      <c r="M276" s="2">
        <v>0</v>
      </c>
      <c r="N276" s="2">
        <v>0</v>
      </c>
      <c r="O276" s="2">
        <v>1</v>
      </c>
      <c r="P276" s="2">
        <v>1</v>
      </c>
      <c r="Q276" s="2">
        <v>0</v>
      </c>
      <c r="R276" s="2">
        <v>0</v>
      </c>
      <c r="S276" s="6" cm="1">
        <f t="array" ref="S276">$Y$2+MMULT(C276:R276,$Y$3:$Y$18)</f>
        <v>-11.122562997151137</v>
      </c>
      <c r="T276" s="7">
        <f t="shared" si="9"/>
        <v>1.4774944187064763E-5</v>
      </c>
      <c r="U276" s="3">
        <f t="shared" si="8"/>
        <v>0</v>
      </c>
    </row>
    <row r="277" spans="1:21">
      <c r="A277" s="2">
        <v>276</v>
      </c>
      <c r="B277" s="2">
        <v>0</v>
      </c>
      <c r="C277" s="8">
        <f>(data!C277-AVERAGE(data!C:C))/_xlfn.STDEV.S(data!C:C)</f>
        <v>-0.34057850222664821</v>
      </c>
      <c r="D277" s="2">
        <v>0</v>
      </c>
      <c r="E277" s="2">
        <v>0</v>
      </c>
      <c r="F277" s="2">
        <v>1</v>
      </c>
      <c r="G277" s="2">
        <v>0</v>
      </c>
      <c r="H277" s="2">
        <v>0</v>
      </c>
      <c r="I277" s="2">
        <v>0</v>
      </c>
      <c r="J277" s="8">
        <f>(data!J277-AVERAGE(data!J:J))/_xlfn.STDEV.S(data!J:J)</f>
        <v>-1.0770924452729411</v>
      </c>
      <c r="K277" s="2">
        <v>0</v>
      </c>
      <c r="L277" s="2">
        <v>0</v>
      </c>
      <c r="M277" s="2">
        <v>1</v>
      </c>
      <c r="N277" s="2">
        <v>1</v>
      </c>
      <c r="O277" s="2">
        <v>0</v>
      </c>
      <c r="P277" s="2">
        <v>0</v>
      </c>
      <c r="Q277" s="2">
        <v>0</v>
      </c>
      <c r="R277" s="2">
        <v>1</v>
      </c>
      <c r="S277" s="6" cm="1">
        <f t="array" ref="S277">$Y$2+MMULT(C277:R277,$Y$3:$Y$18)</f>
        <v>-6.1492847540837516</v>
      </c>
      <c r="T277" s="7">
        <f t="shared" si="9"/>
        <v>2.1304597308454683E-3</v>
      </c>
      <c r="U277" s="3">
        <f t="shared" si="8"/>
        <v>0</v>
      </c>
    </row>
    <row r="278" spans="1:21">
      <c r="A278" s="2">
        <v>277</v>
      </c>
      <c r="B278" s="2">
        <v>0</v>
      </c>
      <c r="C278" s="8">
        <f>(data!C278-AVERAGE(data!C:C))/_xlfn.STDEV.S(data!C:C)</f>
        <v>-1.3906695841148498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8">
        <f>(data!J278-AVERAGE(data!J:J))/_xlfn.STDEV.S(data!J:J)</f>
        <v>-0.19177499635347484</v>
      </c>
      <c r="K278" s="2">
        <v>0</v>
      </c>
      <c r="L278" s="2">
        <v>1</v>
      </c>
      <c r="M278" s="2">
        <v>0</v>
      </c>
      <c r="N278" s="2">
        <v>1</v>
      </c>
      <c r="O278" s="2">
        <v>1</v>
      </c>
      <c r="P278" s="2">
        <v>1</v>
      </c>
      <c r="Q278" s="2">
        <v>0</v>
      </c>
      <c r="R278" s="2">
        <v>0</v>
      </c>
      <c r="S278" s="6" cm="1">
        <f t="array" ref="S278">$Y$2+MMULT(C278:R278,$Y$3:$Y$18)</f>
        <v>-15.549624665752248</v>
      </c>
      <c r="T278" s="7">
        <f t="shared" si="9"/>
        <v>1.7655650991809245E-7</v>
      </c>
      <c r="U278" s="3">
        <f t="shared" si="8"/>
        <v>0</v>
      </c>
    </row>
    <row r="279" spans="1:21">
      <c r="A279" s="2">
        <v>278</v>
      </c>
      <c r="B279" s="2">
        <v>0</v>
      </c>
      <c r="C279" s="8">
        <f>(data!C279-AVERAGE(data!C:C))/_xlfn.STDEV.S(data!C:C)</f>
        <v>-0.42458578877770431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8">
        <f>(data!J279-AVERAGE(data!J:J))/_xlfn.STDEV.S(data!J:J)</f>
        <v>-0.92953953711969683</v>
      </c>
      <c r="K279" s="2">
        <v>0</v>
      </c>
      <c r="L279" s="2">
        <v>1</v>
      </c>
      <c r="M279" s="2">
        <v>0</v>
      </c>
      <c r="N279" s="2">
        <v>1</v>
      </c>
      <c r="O279" s="2">
        <v>0</v>
      </c>
      <c r="P279" s="2">
        <v>0</v>
      </c>
      <c r="Q279" s="2">
        <v>0</v>
      </c>
      <c r="R279" s="2">
        <v>0</v>
      </c>
      <c r="S279" s="6" cm="1">
        <f t="array" ref="S279">$Y$2+MMULT(C279:R279,$Y$3:$Y$18)</f>
        <v>-8.3336499923191703</v>
      </c>
      <c r="T279" s="7">
        <f t="shared" si="9"/>
        <v>2.4023564628105156E-4</v>
      </c>
      <c r="U279" s="3">
        <f t="shared" si="8"/>
        <v>0</v>
      </c>
    </row>
    <row r="280" spans="1:21">
      <c r="A280" s="2">
        <v>279</v>
      </c>
      <c r="B280" s="2">
        <v>0</v>
      </c>
      <c r="C280" s="8">
        <f>(data!C280-AVERAGE(data!C:C))/_xlfn.STDEV.S(data!C:C)</f>
        <v>-0.59260036187981657</v>
      </c>
      <c r="D280" s="2">
        <v>1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8">
        <f>(data!J280-AVERAGE(data!J:J))/_xlfn.STDEV.S(data!J:J)</f>
        <v>-0.70821017488983018</v>
      </c>
      <c r="K280" s="2">
        <v>0</v>
      </c>
      <c r="L280" s="2">
        <v>0</v>
      </c>
      <c r="M280" s="2">
        <v>1</v>
      </c>
      <c r="N280" s="2">
        <v>1</v>
      </c>
      <c r="O280" s="2">
        <v>1</v>
      </c>
      <c r="P280" s="2">
        <v>1</v>
      </c>
      <c r="Q280" s="2">
        <v>0</v>
      </c>
      <c r="R280" s="2">
        <v>0</v>
      </c>
      <c r="S280" s="6" cm="1">
        <f t="array" ref="S280">$Y$2+MMULT(C280:R280,$Y$3:$Y$18)</f>
        <v>-9.3248764049780455</v>
      </c>
      <c r="T280" s="7">
        <f t="shared" si="9"/>
        <v>8.9170028430532778E-5</v>
      </c>
      <c r="U280" s="3">
        <f t="shared" si="8"/>
        <v>0</v>
      </c>
    </row>
    <row r="281" spans="1:21">
      <c r="A281" s="2">
        <v>280</v>
      </c>
      <c r="B281" s="2">
        <v>0</v>
      </c>
      <c r="C281" s="8">
        <f>(data!C281-AVERAGE(data!C:C))/_xlfn.STDEV.S(data!C:C)</f>
        <v>-0.88662586480851291</v>
      </c>
      <c r="D281" s="2">
        <v>1</v>
      </c>
      <c r="E281" s="2">
        <v>0</v>
      </c>
      <c r="F281" s="2">
        <v>1</v>
      </c>
      <c r="G281" s="2">
        <v>0</v>
      </c>
      <c r="H281" s="2">
        <v>0</v>
      </c>
      <c r="I281" s="2">
        <v>0</v>
      </c>
      <c r="J281" s="8">
        <f>(data!J281-AVERAGE(data!J:J))/_xlfn.STDEV.S(data!J:J)</f>
        <v>-1.2246453534261856</v>
      </c>
      <c r="K281" s="2">
        <v>0</v>
      </c>
      <c r="L281" s="2">
        <v>0</v>
      </c>
      <c r="M281" s="2">
        <v>0</v>
      </c>
      <c r="N281" s="2">
        <v>0</v>
      </c>
      <c r="O281" s="2">
        <v>1</v>
      </c>
      <c r="P281" s="2">
        <v>1</v>
      </c>
      <c r="Q281" s="2">
        <v>0</v>
      </c>
      <c r="R281" s="2">
        <v>0</v>
      </c>
      <c r="S281" s="6" cm="1">
        <f t="array" ref="S281">$Y$2+MMULT(C281:R281,$Y$3:$Y$18)</f>
        <v>-12.282632867628518</v>
      </c>
      <c r="T281" s="7">
        <f t="shared" si="9"/>
        <v>4.6314641947014923E-6</v>
      </c>
      <c r="U281" s="3">
        <f t="shared" si="8"/>
        <v>0</v>
      </c>
    </row>
    <row r="282" spans="1:21">
      <c r="A282" s="2">
        <v>281</v>
      </c>
      <c r="B282" s="2">
        <v>0</v>
      </c>
      <c r="C282" s="8">
        <f>(data!C282-AVERAGE(data!C:C))/_xlfn.STDEV.S(data!C:C)</f>
        <v>-1.4326732273903777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8">
        <f>(data!J282-AVERAGE(data!J:J))/_xlfn.STDEV.S(data!J:J)</f>
        <v>-0.70821017488983018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6" cm="1">
        <f t="array" ref="S282">$Y$2+MMULT(C282:R282,$Y$3:$Y$18)</f>
        <v>-12.912079695139479</v>
      </c>
      <c r="T282" s="7">
        <f t="shared" si="9"/>
        <v>2.468050073089983E-6</v>
      </c>
      <c r="U282" s="3">
        <f t="shared" si="8"/>
        <v>0</v>
      </c>
    </row>
    <row r="283" spans="1:21">
      <c r="A283" s="2">
        <v>282</v>
      </c>
      <c r="B283" s="2">
        <v>0</v>
      </c>
      <c r="C283" s="8">
        <f>(data!C283-AVERAGE(data!C:C))/_xlfn.STDEV.S(data!C:C)</f>
        <v>-4.6552999297951793E-2</v>
      </c>
      <c r="D283" s="2">
        <v>1</v>
      </c>
      <c r="E283" s="2">
        <v>0</v>
      </c>
      <c r="F283" s="2">
        <v>0</v>
      </c>
      <c r="G283" s="2">
        <v>1</v>
      </c>
      <c r="H283" s="2">
        <v>0</v>
      </c>
      <c r="I283" s="2">
        <v>0</v>
      </c>
      <c r="J283" s="8">
        <f>(data!J283-AVERAGE(data!J:J))/_xlfn.STDEV.S(data!J:J)</f>
        <v>-0.63443372081320804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0</v>
      </c>
      <c r="R283" s="2">
        <v>0</v>
      </c>
      <c r="S283" s="6" cm="1">
        <f t="array" ref="S283">$Y$2+MMULT(C283:R283,$Y$3:$Y$18)</f>
        <v>-6.6225253474542898</v>
      </c>
      <c r="T283" s="7">
        <f t="shared" si="9"/>
        <v>1.3283010869625279E-3</v>
      </c>
      <c r="U283" s="3">
        <f t="shared" si="8"/>
        <v>0</v>
      </c>
    </row>
    <row r="284" spans="1:21">
      <c r="A284" s="2">
        <v>283</v>
      </c>
      <c r="B284" s="2">
        <v>0</v>
      </c>
      <c r="C284" s="8">
        <f>(data!C284-AVERAGE(data!C:C))/_xlfn.STDEV.S(data!C:C)</f>
        <v>-1.3906695841148498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8">
        <f>(data!J284-AVERAGE(data!J:J))/_xlfn.STDEV.S(data!J:J)</f>
        <v>-4.4222088200230422E-2</v>
      </c>
      <c r="K284" s="2">
        <v>0</v>
      </c>
      <c r="L284" s="2">
        <v>1</v>
      </c>
      <c r="M284" s="2">
        <v>0</v>
      </c>
      <c r="N284" s="2">
        <v>1</v>
      </c>
      <c r="O284" s="2">
        <v>0</v>
      </c>
      <c r="P284" s="2">
        <v>1</v>
      </c>
      <c r="Q284" s="2">
        <v>0</v>
      </c>
      <c r="R284" s="2">
        <v>0</v>
      </c>
      <c r="S284" s="6" cm="1">
        <f t="array" ref="S284">$Y$2+MMULT(C284:R284,$Y$3:$Y$18)</f>
        <v>-16.985210009808107</v>
      </c>
      <c r="T284" s="7">
        <f t="shared" si="9"/>
        <v>4.2016222139250478E-8</v>
      </c>
      <c r="U284" s="3">
        <f t="shared" si="8"/>
        <v>0</v>
      </c>
    </row>
    <row r="285" spans="1:21">
      <c r="A285" s="2">
        <v>284</v>
      </c>
      <c r="B285" s="2">
        <v>0</v>
      </c>
      <c r="C285" s="8">
        <f>(data!C285-AVERAGE(data!C:C))/_xlfn.STDEV.S(data!C:C)</f>
        <v>-0.42458578877770431</v>
      </c>
      <c r="D285" s="2">
        <v>1</v>
      </c>
      <c r="E285" s="2">
        <v>1</v>
      </c>
      <c r="F285" s="2">
        <v>0</v>
      </c>
      <c r="G285" s="2">
        <v>0</v>
      </c>
      <c r="H285" s="2">
        <v>0</v>
      </c>
      <c r="I285" s="2">
        <v>0</v>
      </c>
      <c r="J285" s="8">
        <f>(data!J285-AVERAGE(data!J:J))/_xlfn.STDEV.S(data!J:J)</f>
        <v>0.54598954441274716</v>
      </c>
      <c r="K285" s="2">
        <v>1</v>
      </c>
      <c r="L285" s="2">
        <v>1</v>
      </c>
      <c r="M285" s="2">
        <v>0</v>
      </c>
      <c r="N285" s="2">
        <v>0</v>
      </c>
      <c r="O285" s="2">
        <v>1</v>
      </c>
      <c r="P285" s="2">
        <v>1</v>
      </c>
      <c r="Q285" s="2">
        <v>0</v>
      </c>
      <c r="R285" s="2">
        <v>0</v>
      </c>
      <c r="S285" s="6" cm="1">
        <f t="array" ref="S285">$Y$2+MMULT(C285:R285,$Y$3:$Y$18)</f>
        <v>-8.5962536752587013</v>
      </c>
      <c r="T285" s="7">
        <f t="shared" si="9"/>
        <v>1.8476266377962726E-4</v>
      </c>
      <c r="U285" s="3">
        <f t="shared" si="8"/>
        <v>0</v>
      </c>
    </row>
    <row r="286" spans="1:21">
      <c r="A286" s="2">
        <v>285</v>
      </c>
      <c r="B286" s="2">
        <v>0</v>
      </c>
      <c r="C286" s="8">
        <f>(data!C286-AVERAGE(data!C:C))/_xlfn.STDEV.S(data!C:C)</f>
        <v>1.6335927317231704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8">
        <f>(data!J286-AVERAGE(data!J:J))/_xlfn.STDEV.S(data!J:J)</f>
        <v>0.17710727402963619</v>
      </c>
      <c r="K286" s="2">
        <v>0</v>
      </c>
      <c r="L286" s="2">
        <v>1</v>
      </c>
      <c r="M286" s="2">
        <v>0</v>
      </c>
      <c r="N286" s="2">
        <v>1</v>
      </c>
      <c r="O286" s="2">
        <v>0</v>
      </c>
      <c r="P286" s="2">
        <v>1</v>
      </c>
      <c r="Q286" s="2">
        <v>0</v>
      </c>
      <c r="R286" s="2">
        <v>0</v>
      </c>
      <c r="S286" s="6" cm="1">
        <f t="array" ref="S286">$Y$2+MMULT(C286:R286,$Y$3:$Y$18)</f>
        <v>0.99161523903072357</v>
      </c>
      <c r="T286" s="7">
        <f t="shared" si="9"/>
        <v>0.72940684422078317</v>
      </c>
      <c r="U286" s="3">
        <f t="shared" si="8"/>
        <v>1</v>
      </c>
    </row>
    <row r="287" spans="1:21">
      <c r="A287" s="2">
        <v>286</v>
      </c>
      <c r="B287" s="2">
        <v>0</v>
      </c>
      <c r="C287" s="8">
        <f>(data!C287-AVERAGE(data!C:C))/_xlfn.STDEV.S(data!C:C)</f>
        <v>-0.67660764843087262</v>
      </c>
      <c r="D287" s="2">
        <v>1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8">
        <f>(data!J287-AVERAGE(data!J:J))/_xlfn.STDEV.S(data!J:J)</f>
        <v>-0.92953953711969683</v>
      </c>
      <c r="K287" s="2">
        <v>0</v>
      </c>
      <c r="L287" s="2">
        <v>0</v>
      </c>
      <c r="M287" s="2">
        <v>0</v>
      </c>
      <c r="N287" s="2">
        <v>0</v>
      </c>
      <c r="O287" s="2">
        <v>1</v>
      </c>
      <c r="P287" s="2">
        <v>1</v>
      </c>
      <c r="Q287" s="2">
        <v>0</v>
      </c>
      <c r="R287" s="2">
        <v>0</v>
      </c>
      <c r="S287" s="6" cm="1">
        <f t="array" ref="S287">$Y$2+MMULT(C287:R287,$Y$3:$Y$18)</f>
        <v>-10.253739560534406</v>
      </c>
      <c r="T287" s="7">
        <f t="shared" si="9"/>
        <v>3.5224285458938334E-5</v>
      </c>
      <c r="U287" s="3">
        <f t="shared" si="8"/>
        <v>0</v>
      </c>
    </row>
    <row r="288" spans="1:21">
      <c r="A288" s="2">
        <v>287</v>
      </c>
      <c r="B288" s="2">
        <v>0</v>
      </c>
      <c r="C288" s="8">
        <f>(data!C288-AVERAGE(data!C:C))/_xlfn.STDEV.S(data!C:C)</f>
        <v>-0.13056028584900792</v>
      </c>
      <c r="D288" s="2">
        <v>1</v>
      </c>
      <c r="E288" s="2">
        <v>1</v>
      </c>
      <c r="F288" s="2">
        <v>0</v>
      </c>
      <c r="G288" s="2">
        <v>0</v>
      </c>
      <c r="H288" s="2">
        <v>0</v>
      </c>
      <c r="I288" s="2">
        <v>0</v>
      </c>
      <c r="J288" s="8">
        <f>(data!J288-AVERAGE(data!J:J))/_xlfn.STDEV.S(data!J:J)</f>
        <v>-0.11799854227685262</v>
      </c>
      <c r="K288" s="2">
        <v>0</v>
      </c>
      <c r="L288" s="2">
        <v>0</v>
      </c>
      <c r="M288" s="2">
        <v>1</v>
      </c>
      <c r="N288" s="2">
        <v>1</v>
      </c>
      <c r="O288" s="2">
        <v>1</v>
      </c>
      <c r="P288" s="2">
        <v>1</v>
      </c>
      <c r="Q288" s="2">
        <v>0</v>
      </c>
      <c r="R288" s="2">
        <v>0</v>
      </c>
      <c r="S288" s="6" cm="1">
        <f t="array" ref="S288">$Y$2+MMULT(C288:R288,$Y$3:$Y$18)</f>
        <v>-5.6072029079214518</v>
      </c>
      <c r="T288" s="7">
        <f t="shared" si="9"/>
        <v>3.6578947239523634E-3</v>
      </c>
      <c r="U288" s="3">
        <f t="shared" si="8"/>
        <v>0</v>
      </c>
    </row>
    <row r="289" spans="1:21">
      <c r="A289" s="2">
        <v>288</v>
      </c>
      <c r="B289" s="2">
        <v>0</v>
      </c>
      <c r="C289" s="8">
        <f>(data!C289-AVERAGE(data!C:C))/_xlfn.STDEV.S(data!C:C)</f>
        <v>-0.7186112917064007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8">
        <f>(data!J289-AVERAGE(data!J:J))/_xlfn.STDEV.S(data!J:J)</f>
        <v>1.0624247229491026</v>
      </c>
      <c r="K289" s="2">
        <v>0</v>
      </c>
      <c r="L289" s="2">
        <v>0</v>
      </c>
      <c r="M289" s="2">
        <v>0</v>
      </c>
      <c r="N289" s="2">
        <v>0</v>
      </c>
      <c r="O289" s="2">
        <v>1</v>
      </c>
      <c r="P289" s="2">
        <v>1</v>
      </c>
      <c r="Q289" s="2">
        <v>0</v>
      </c>
      <c r="R289" s="2">
        <v>0</v>
      </c>
      <c r="S289" s="6" cm="1">
        <f t="array" ref="S289">$Y$2+MMULT(C289:R289,$Y$3:$Y$18)</f>
        <v>-9.5016362474526712</v>
      </c>
      <c r="T289" s="7">
        <f t="shared" si="9"/>
        <v>7.4723869843718765E-5</v>
      </c>
      <c r="U289" s="3">
        <f t="shared" si="8"/>
        <v>0</v>
      </c>
    </row>
    <row r="290" spans="1:21">
      <c r="A290" s="2">
        <v>289</v>
      </c>
      <c r="B290" s="2">
        <v>0</v>
      </c>
      <c r="C290" s="8">
        <f>(data!C290-AVERAGE(data!C:C))/_xlfn.STDEV.S(data!C:C)</f>
        <v>-1.0966440811861533</v>
      </c>
      <c r="D290" s="2">
        <v>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8">
        <f>(data!J290-AVERAGE(data!J:J))/_xlfn.STDEV.S(data!J:J)</f>
        <v>-1.2246453534261856</v>
      </c>
      <c r="K290" s="2">
        <v>0</v>
      </c>
      <c r="L290" s="2">
        <v>0</v>
      </c>
      <c r="M290" s="2">
        <v>0</v>
      </c>
      <c r="N290" s="2">
        <v>1</v>
      </c>
      <c r="O290" s="2">
        <v>1</v>
      </c>
      <c r="P290" s="2">
        <v>1</v>
      </c>
      <c r="Q290" s="2">
        <v>0</v>
      </c>
      <c r="R290" s="2">
        <v>0</v>
      </c>
      <c r="S290" s="6" cm="1">
        <f t="array" ref="S290">$Y$2+MMULT(C290:R290,$Y$3:$Y$18)</f>
        <v>-13.394312642194759</v>
      </c>
      <c r="T290" s="7">
        <f t="shared" si="9"/>
        <v>1.5237835078922473E-6</v>
      </c>
      <c r="U290" s="3">
        <f t="shared" si="8"/>
        <v>0</v>
      </c>
    </row>
    <row r="291" spans="1:21">
      <c r="A291" s="2">
        <v>290</v>
      </c>
      <c r="B291" s="2">
        <v>0</v>
      </c>
      <c r="C291" s="8">
        <f>(data!C291-AVERAGE(data!C:C))/_xlfn.STDEV.S(data!C:C)</f>
        <v>0.12146157380416044</v>
      </c>
      <c r="D291" s="2">
        <v>1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8">
        <f>(data!J291-AVERAGE(data!J:J))/_xlfn.STDEV.S(data!J:J)</f>
        <v>1.8739657177919469</v>
      </c>
      <c r="K291" s="2">
        <v>1</v>
      </c>
      <c r="L291" s="2">
        <v>0</v>
      </c>
      <c r="M291" s="2">
        <v>1</v>
      </c>
      <c r="N291" s="2">
        <v>1</v>
      </c>
      <c r="O291" s="2">
        <v>1</v>
      </c>
      <c r="P291" s="2">
        <v>1</v>
      </c>
      <c r="Q291" s="2">
        <v>0</v>
      </c>
      <c r="R291" s="2">
        <v>0</v>
      </c>
      <c r="S291" s="6" cm="1">
        <f t="array" ref="S291">$Y$2+MMULT(C291:R291,$Y$3:$Y$18)</f>
        <v>-2.682969538858432</v>
      </c>
      <c r="T291" s="7">
        <f t="shared" si="9"/>
        <v>6.398579549030993E-2</v>
      </c>
      <c r="U291" s="3">
        <f t="shared" si="8"/>
        <v>0</v>
      </c>
    </row>
    <row r="292" spans="1:21">
      <c r="A292" s="2">
        <v>291</v>
      </c>
      <c r="B292" s="2">
        <v>1</v>
      </c>
      <c r="C292" s="8">
        <f>(data!C292-AVERAGE(data!C:C))/_xlfn.STDEV.S(data!C:C)</f>
        <v>1.6755963749986986</v>
      </c>
      <c r="D292" s="2">
        <v>1</v>
      </c>
      <c r="E292" s="2">
        <v>1</v>
      </c>
      <c r="F292" s="2">
        <v>1</v>
      </c>
      <c r="G292" s="2">
        <v>1</v>
      </c>
      <c r="H292" s="2">
        <v>0</v>
      </c>
      <c r="I292" s="2">
        <v>0</v>
      </c>
      <c r="J292" s="8">
        <f>(data!J292-AVERAGE(data!J:J))/_xlfn.STDEV.S(data!J:J)</f>
        <v>0.47221309033612496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0</v>
      </c>
      <c r="R292" s="2">
        <v>0</v>
      </c>
      <c r="S292" s="6" cm="1">
        <f t="array" ref="S292">$Y$2+MMULT(C292:R292,$Y$3:$Y$18)</f>
        <v>3.571903623453931</v>
      </c>
      <c r="T292" s="7">
        <f t="shared" si="9"/>
        <v>0.97266584624736308</v>
      </c>
      <c r="U292" s="3">
        <f t="shared" si="8"/>
        <v>1</v>
      </c>
    </row>
    <row r="293" spans="1:21">
      <c r="A293" s="2">
        <v>292</v>
      </c>
      <c r="B293" s="2">
        <v>0</v>
      </c>
      <c r="C293" s="8">
        <f>(data!C293-AVERAGE(data!C:C))/_xlfn.STDEV.S(data!C:C)</f>
        <v>-1.4326732273903777</v>
      </c>
      <c r="D293" s="2">
        <v>1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8">
        <f>(data!J293-AVERAGE(data!J:J))/_xlfn.STDEV.S(data!J:J)</f>
        <v>-0.26555145043009704</v>
      </c>
      <c r="K293" s="2">
        <v>0</v>
      </c>
      <c r="L293" s="2">
        <v>1</v>
      </c>
      <c r="M293" s="2">
        <v>0</v>
      </c>
      <c r="N293" s="2">
        <v>1</v>
      </c>
      <c r="O293" s="2">
        <v>1</v>
      </c>
      <c r="P293" s="2">
        <v>1</v>
      </c>
      <c r="Q293" s="2">
        <v>0</v>
      </c>
      <c r="R293" s="2">
        <v>0</v>
      </c>
      <c r="S293" s="6" cm="1">
        <f t="array" ref="S293">$Y$2+MMULT(C293:R293,$Y$3:$Y$18)</f>
        <v>-15.664558202505422</v>
      </c>
      <c r="T293" s="7">
        <f t="shared" si="9"/>
        <v>1.573869585448386E-7</v>
      </c>
      <c r="U293" s="3">
        <f t="shared" si="8"/>
        <v>0</v>
      </c>
    </row>
    <row r="294" spans="1:21">
      <c r="A294" s="2">
        <v>293</v>
      </c>
      <c r="B294" s="2">
        <v>0</v>
      </c>
      <c r="C294" s="8">
        <f>(data!C294-AVERAGE(data!C:C))/_xlfn.STDEV.S(data!C:C)</f>
        <v>-0.50859307532876041</v>
      </c>
      <c r="D294" s="2">
        <v>1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8">
        <f>(data!J294-AVERAGE(data!J:J))/_xlfn.STDEV.S(data!J:J)</f>
        <v>-0.11799854227685262</v>
      </c>
      <c r="K294" s="2">
        <v>0</v>
      </c>
      <c r="L294" s="2">
        <v>0</v>
      </c>
      <c r="M294" s="2">
        <v>1</v>
      </c>
      <c r="N294" s="2">
        <v>1</v>
      </c>
      <c r="O294" s="2">
        <v>1</v>
      </c>
      <c r="P294" s="2">
        <v>1</v>
      </c>
      <c r="Q294" s="2">
        <v>0</v>
      </c>
      <c r="R294" s="2">
        <v>0</v>
      </c>
      <c r="S294" s="6" cm="1">
        <f t="array" ref="S294">$Y$2+MMULT(C294:R294,$Y$3:$Y$18)</f>
        <v>-7.7363180632726651</v>
      </c>
      <c r="T294" s="7">
        <f t="shared" si="9"/>
        <v>4.3648583069513228E-4</v>
      </c>
      <c r="U294" s="3">
        <f t="shared" si="8"/>
        <v>0</v>
      </c>
    </row>
    <row r="295" spans="1:21">
      <c r="A295" s="2">
        <v>294</v>
      </c>
      <c r="B295" s="2">
        <v>0</v>
      </c>
      <c r="C295" s="8">
        <f>(data!C295-AVERAGE(data!C:C))/_xlfn.STDEV.S(data!C:C)</f>
        <v>-1.4326732273903777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8">
        <f>(data!J295-AVERAGE(data!J:J))/_xlfn.STDEV.S(data!J:J)</f>
        <v>-0.11799854227685262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>
        <v>1</v>
      </c>
      <c r="Q295" s="2">
        <v>0</v>
      </c>
      <c r="R295" s="2">
        <v>0</v>
      </c>
      <c r="S295" s="6" cm="1">
        <f t="array" ref="S295">$Y$2+MMULT(C295:R295,$Y$3:$Y$18)</f>
        <v>-16.996403480475571</v>
      </c>
      <c r="T295" s="7">
        <f t="shared" si="9"/>
        <v>4.1548537200696183E-8</v>
      </c>
      <c r="U295" s="3">
        <f t="shared" si="8"/>
        <v>0</v>
      </c>
    </row>
    <row r="296" spans="1:21">
      <c r="A296" s="2">
        <v>295</v>
      </c>
      <c r="B296" s="2">
        <v>0</v>
      </c>
      <c r="C296" s="8">
        <f>(data!C296-AVERAGE(data!C:C))/_xlfn.STDEV.S(data!C:C)</f>
        <v>-1.1806513677372095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8">
        <f>(data!J296-AVERAGE(data!J:J))/_xlfn.STDEV.S(data!J:J)</f>
        <v>-0.92953953711969683</v>
      </c>
      <c r="K296" s="2">
        <v>0</v>
      </c>
      <c r="L296" s="2">
        <v>1</v>
      </c>
      <c r="M296" s="2">
        <v>0</v>
      </c>
      <c r="N296" s="2">
        <v>1</v>
      </c>
      <c r="O296" s="2">
        <v>0</v>
      </c>
      <c r="P296" s="2">
        <v>1</v>
      </c>
      <c r="Q296" s="2">
        <v>0</v>
      </c>
      <c r="R296" s="2">
        <v>0</v>
      </c>
      <c r="S296" s="6" cm="1">
        <f t="array" ref="S296">$Y$2+MMULT(C296:R296,$Y$3:$Y$18)</f>
        <v>-16.437831882903154</v>
      </c>
      <c r="T296" s="7">
        <f t="shared" si="9"/>
        <v>7.2634054449851546E-8</v>
      </c>
      <c r="U296" s="3">
        <f t="shared" si="8"/>
        <v>0</v>
      </c>
    </row>
    <row r="297" spans="1:21">
      <c r="A297" s="2">
        <v>296</v>
      </c>
      <c r="B297" s="2">
        <v>0</v>
      </c>
      <c r="C297" s="8">
        <f>(data!C297-AVERAGE(data!C:C))/_xlfn.STDEV.S(data!C:C)</f>
        <v>-1.0546404379106251</v>
      </c>
      <c r="D297" s="2">
        <v>1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8">
        <f>(data!J297-AVERAGE(data!J:J))/_xlfn.STDEV.S(data!J:J)</f>
        <v>0.32466018218288056</v>
      </c>
      <c r="K297" s="2">
        <v>0</v>
      </c>
      <c r="L297" s="2">
        <v>0</v>
      </c>
      <c r="M297" s="2">
        <v>0</v>
      </c>
      <c r="N297" s="2">
        <v>0</v>
      </c>
      <c r="O297" s="2">
        <v>1</v>
      </c>
      <c r="P297" s="2">
        <v>1</v>
      </c>
      <c r="Q297" s="2">
        <v>0</v>
      </c>
      <c r="R297" s="2">
        <v>0</v>
      </c>
      <c r="S297" s="6" cm="1">
        <f t="array" ref="S297">$Y$2+MMULT(C297:R297,$Y$3:$Y$18)</f>
        <v>-14.619900332955362</v>
      </c>
      <c r="T297" s="7">
        <f t="shared" si="9"/>
        <v>4.4736063392071917E-7</v>
      </c>
      <c r="U297" s="3">
        <f t="shared" si="8"/>
        <v>0</v>
      </c>
    </row>
    <row r="298" spans="1:21">
      <c r="A298" s="2">
        <v>297</v>
      </c>
      <c r="B298" s="2">
        <v>1</v>
      </c>
      <c r="C298" s="8">
        <f>(data!C298-AVERAGE(data!C:C))/_xlfn.STDEV.S(data!C:C)</f>
        <v>1.6755963749986986</v>
      </c>
      <c r="D298" s="2">
        <v>0</v>
      </c>
      <c r="E298" s="2">
        <v>1</v>
      </c>
      <c r="F298" s="2">
        <v>1</v>
      </c>
      <c r="G298" s="2">
        <v>1</v>
      </c>
      <c r="H298" s="2">
        <v>0</v>
      </c>
      <c r="I298" s="2">
        <v>0</v>
      </c>
      <c r="J298" s="8">
        <f>(data!J298-AVERAGE(data!J:J))/_xlfn.STDEV.S(data!J:J)</f>
        <v>-0.78198662896645244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  <c r="S298" s="6" cm="1">
        <f t="array" ref="S298">$Y$2+MMULT(C298:R298,$Y$3:$Y$18)</f>
        <v>2.8680865896502006</v>
      </c>
      <c r="T298" s="7">
        <f t="shared" si="9"/>
        <v>0.94624610655919483</v>
      </c>
      <c r="U298" s="3">
        <f t="shared" si="8"/>
        <v>1</v>
      </c>
    </row>
    <row r="299" spans="1:21">
      <c r="A299" s="2">
        <v>298</v>
      </c>
      <c r="B299" s="2">
        <v>0</v>
      </c>
      <c r="C299" s="8">
        <f>(data!C299-AVERAGE(data!C:C))/_xlfn.STDEV.S(data!C:C)</f>
        <v>-1.3906695841148498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8">
        <f>(data!J299-AVERAGE(data!J:J))/_xlfn.STDEV.S(data!J:J)</f>
        <v>-0.11799854227685262</v>
      </c>
      <c r="K299" s="2">
        <v>0</v>
      </c>
      <c r="L299" s="2">
        <v>1</v>
      </c>
      <c r="M299" s="2">
        <v>0</v>
      </c>
      <c r="N299" s="2">
        <v>1</v>
      </c>
      <c r="O299" s="2">
        <v>0</v>
      </c>
      <c r="P299" s="2">
        <v>1</v>
      </c>
      <c r="Q299" s="2">
        <v>1</v>
      </c>
      <c r="R299" s="2">
        <v>0</v>
      </c>
      <c r="S299" s="6" cm="1">
        <f t="array" ref="S299">$Y$2+MMULT(C299:R299,$Y$3:$Y$18)</f>
        <v>-16.22025929614955</v>
      </c>
      <c r="T299" s="7">
        <f t="shared" si="9"/>
        <v>9.0288170579645546E-8</v>
      </c>
      <c r="U299" s="3">
        <f t="shared" si="8"/>
        <v>0</v>
      </c>
    </row>
    <row r="300" spans="1:21">
      <c r="A300" s="2">
        <v>299</v>
      </c>
      <c r="B300" s="2">
        <v>1</v>
      </c>
      <c r="C300" s="8">
        <f>(data!C300-AVERAGE(data!C:C))/_xlfn.STDEV.S(data!C:C)</f>
        <v>1.6755963749986986</v>
      </c>
      <c r="D300" s="2">
        <v>0</v>
      </c>
      <c r="E300" s="2">
        <v>1</v>
      </c>
      <c r="F300" s="2">
        <v>1</v>
      </c>
      <c r="G300" s="2">
        <v>1</v>
      </c>
      <c r="H300" s="2">
        <v>0</v>
      </c>
      <c r="I300" s="2">
        <v>0</v>
      </c>
      <c r="J300" s="8">
        <f>(data!J300-AVERAGE(data!J:J))/_xlfn.STDEV.S(data!J:J)</f>
        <v>0.61976599848936942</v>
      </c>
      <c r="K300" s="2">
        <v>1</v>
      </c>
      <c r="L300" s="2">
        <v>0</v>
      </c>
      <c r="M300" s="2">
        <v>1</v>
      </c>
      <c r="N300" s="2">
        <v>1</v>
      </c>
      <c r="O300" s="2">
        <v>1</v>
      </c>
      <c r="P300" s="2">
        <v>1</v>
      </c>
      <c r="Q300" s="2">
        <v>0</v>
      </c>
      <c r="R300" s="2">
        <v>0</v>
      </c>
      <c r="S300" s="6" cm="1">
        <f t="array" ref="S300">$Y$2+MMULT(C300:R300,$Y$3:$Y$18)</f>
        <v>4.3166860291420157</v>
      </c>
      <c r="T300" s="7">
        <f t="shared" si="9"/>
        <v>0.98683168631823526</v>
      </c>
      <c r="U300" s="3">
        <f t="shared" si="8"/>
        <v>1</v>
      </c>
    </row>
    <row r="301" spans="1:21">
      <c r="A301" s="2">
        <v>300</v>
      </c>
      <c r="B301" s="2">
        <v>0</v>
      </c>
      <c r="C301" s="8">
        <f>(data!C301-AVERAGE(data!C:C))/_xlfn.STDEV.S(data!C:C)</f>
        <v>0.1634652170796885</v>
      </c>
      <c r="D301" s="2">
        <v>1</v>
      </c>
      <c r="E301" s="2">
        <v>1</v>
      </c>
      <c r="F301" s="2">
        <v>0</v>
      </c>
      <c r="G301" s="2">
        <v>1</v>
      </c>
      <c r="H301" s="2">
        <v>0</v>
      </c>
      <c r="I301" s="2">
        <v>0</v>
      </c>
      <c r="J301" s="8">
        <f>(data!J301-AVERAGE(data!J:J))/_xlfn.STDEV.S(data!J:J)</f>
        <v>-0.56065726673658578</v>
      </c>
      <c r="K301" s="2">
        <v>1</v>
      </c>
      <c r="L301" s="2">
        <v>0</v>
      </c>
      <c r="M301" s="2">
        <v>1</v>
      </c>
      <c r="N301" s="2">
        <v>1</v>
      </c>
      <c r="O301" s="2">
        <v>1</v>
      </c>
      <c r="P301" s="2">
        <v>1</v>
      </c>
      <c r="Q301" s="2">
        <v>0</v>
      </c>
      <c r="R301" s="2">
        <v>0</v>
      </c>
      <c r="S301" s="6" cm="1">
        <f t="array" ref="S301">$Y$2+MMULT(C301:R301,$Y$3:$Y$18)</f>
        <v>-4.6145908014842254</v>
      </c>
      <c r="T301" s="7">
        <f t="shared" si="9"/>
        <v>9.8090652773728214E-3</v>
      </c>
      <c r="U301" s="3">
        <f t="shared" si="8"/>
        <v>0</v>
      </c>
    </row>
    <row r="302" spans="1:21">
      <c r="A302" s="2">
        <v>301</v>
      </c>
      <c r="B302" s="2">
        <v>1</v>
      </c>
      <c r="C302" s="8">
        <f>(data!C302-AVERAGE(data!C:C))/_xlfn.STDEV.S(data!C:C)</f>
        <v>1.4655781586210583</v>
      </c>
      <c r="D302" s="2">
        <v>1</v>
      </c>
      <c r="E302" s="2">
        <v>1</v>
      </c>
      <c r="F302" s="2">
        <v>1</v>
      </c>
      <c r="G302" s="2">
        <v>1</v>
      </c>
      <c r="H302" s="2">
        <v>0</v>
      </c>
      <c r="I302" s="2">
        <v>0</v>
      </c>
      <c r="J302" s="8">
        <f>(data!J302-AVERAGE(data!J:J))/_xlfn.STDEV.S(data!J:J)</f>
        <v>2.9554365876391778E-2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0</v>
      </c>
      <c r="R302" s="2">
        <v>0</v>
      </c>
      <c r="S302" s="6" cm="1">
        <f t="array" ref="S302">$Y$2+MMULT(C302:R302,$Y$3:$Y$18)</f>
        <v>2.0576056504437439</v>
      </c>
      <c r="T302" s="7">
        <f t="shared" si="9"/>
        <v>0.88671387442923844</v>
      </c>
      <c r="U302" s="3">
        <f t="shared" si="8"/>
        <v>1</v>
      </c>
    </row>
    <row r="303" spans="1:21">
      <c r="A303" s="2">
        <v>302</v>
      </c>
      <c r="B303" s="2">
        <v>0</v>
      </c>
      <c r="C303" s="8">
        <f>(data!C303-AVERAGE(data!C:C))/_xlfn.STDEV.S(data!C:C)</f>
        <v>1.255559942243418</v>
      </c>
      <c r="D303" s="2">
        <v>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8">
        <f>(data!J303-AVERAGE(data!J:J))/_xlfn.STDEV.S(data!J:J)</f>
        <v>0.47221309033612496</v>
      </c>
      <c r="K303" s="2">
        <v>0</v>
      </c>
      <c r="L303" s="2">
        <v>1</v>
      </c>
      <c r="M303" s="2">
        <v>0</v>
      </c>
      <c r="N303" s="2">
        <v>1</v>
      </c>
      <c r="O303" s="2">
        <v>0</v>
      </c>
      <c r="P303" s="2">
        <v>1</v>
      </c>
      <c r="Q303" s="2">
        <v>0</v>
      </c>
      <c r="R303" s="2">
        <v>0</v>
      </c>
      <c r="S303" s="6" cm="1">
        <f t="array" ref="S303">$Y$2+MMULT(C303:R303,$Y$3:$Y$18)</f>
        <v>-0.90724509338464676</v>
      </c>
      <c r="T303" s="7">
        <f t="shared" si="9"/>
        <v>0.28756390698918743</v>
      </c>
      <c r="U303" s="3">
        <f t="shared" si="8"/>
        <v>0</v>
      </c>
    </row>
    <row r="304" spans="1:21">
      <c r="A304" s="2">
        <v>303</v>
      </c>
      <c r="B304" s="2">
        <v>0</v>
      </c>
      <c r="C304" s="8">
        <f>(data!C304-AVERAGE(data!C:C))/_xlfn.STDEV.S(data!C:C)</f>
        <v>-4.5493560224237357E-3</v>
      </c>
      <c r="D304" s="2">
        <v>0</v>
      </c>
      <c r="E304" s="2">
        <v>0</v>
      </c>
      <c r="F304" s="2">
        <v>1</v>
      </c>
      <c r="G304" s="2">
        <v>0</v>
      </c>
      <c r="H304" s="2">
        <v>0</v>
      </c>
      <c r="I304" s="2">
        <v>0</v>
      </c>
      <c r="J304" s="8">
        <f>(data!J304-AVERAGE(data!J:J))/_xlfn.STDEV.S(data!J:J)</f>
        <v>-1.2246453534261856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1</v>
      </c>
      <c r="Q304" s="2">
        <v>0</v>
      </c>
      <c r="R304" s="2">
        <v>0</v>
      </c>
      <c r="S304" s="6" cm="1">
        <f t="array" ref="S304">$Y$2+MMULT(C304:R304,$Y$3:$Y$18)</f>
        <v>-8.9068858927208225</v>
      </c>
      <c r="T304" s="7">
        <f t="shared" si="9"/>
        <v>1.3543464800432289E-4</v>
      </c>
      <c r="U304" s="3">
        <f t="shared" si="8"/>
        <v>0</v>
      </c>
    </row>
    <row r="305" spans="1:21">
      <c r="A305" s="2">
        <v>304</v>
      </c>
      <c r="B305" s="2">
        <v>1</v>
      </c>
      <c r="C305" s="8">
        <f>(data!C305-AVERAGE(data!C:C))/_xlfn.STDEV.S(data!C:C)</f>
        <v>1.6755963749986986</v>
      </c>
      <c r="D305" s="2">
        <v>0</v>
      </c>
      <c r="E305" s="2">
        <v>1</v>
      </c>
      <c r="F305" s="2">
        <v>1</v>
      </c>
      <c r="G305" s="2">
        <v>1</v>
      </c>
      <c r="H305" s="2">
        <v>0</v>
      </c>
      <c r="I305" s="2">
        <v>0</v>
      </c>
      <c r="J305" s="8">
        <f>(data!J305-AVERAGE(data!J:J))/_xlfn.STDEV.S(data!J:J)</f>
        <v>2.3166244422516802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0</v>
      </c>
      <c r="R305" s="2">
        <v>0</v>
      </c>
      <c r="S305" s="6" cm="1">
        <f t="array" ref="S305">$Y$2+MMULT(C305:R305,$Y$3:$Y$18)</f>
        <v>4.4868227040354345</v>
      </c>
      <c r="T305" s="7">
        <f t="shared" si="9"/>
        <v>0.98886894327723207</v>
      </c>
      <c r="U305" s="3">
        <f t="shared" si="8"/>
        <v>1</v>
      </c>
    </row>
    <row r="306" spans="1:21">
      <c r="A306" s="2">
        <v>305</v>
      </c>
      <c r="B306" s="2">
        <v>0</v>
      </c>
      <c r="C306" s="8">
        <f>(data!C306-AVERAGE(data!C:C))/_xlfn.STDEV.S(data!C:C)</f>
        <v>0.5835016498349691</v>
      </c>
      <c r="D306" s="2">
        <v>1</v>
      </c>
      <c r="E306" s="2">
        <v>1</v>
      </c>
      <c r="F306" s="2">
        <v>1</v>
      </c>
      <c r="G306" s="2">
        <v>1</v>
      </c>
      <c r="H306" s="2">
        <v>0</v>
      </c>
      <c r="I306" s="2">
        <v>0</v>
      </c>
      <c r="J306" s="8">
        <f>(data!J306-AVERAGE(data!J:J))/_xlfn.STDEV.S(data!J:J)</f>
        <v>-1.2984218075028078</v>
      </c>
      <c r="K306" s="2">
        <v>1</v>
      </c>
      <c r="L306" s="2">
        <v>0</v>
      </c>
      <c r="M306" s="2">
        <v>0</v>
      </c>
      <c r="N306" s="2">
        <v>0</v>
      </c>
      <c r="O306" s="2">
        <v>1</v>
      </c>
      <c r="P306" s="2">
        <v>1</v>
      </c>
      <c r="Q306" s="2">
        <v>0</v>
      </c>
      <c r="R306" s="2">
        <v>0</v>
      </c>
      <c r="S306" s="6" cm="1">
        <f t="array" ref="S306">$Y$2+MMULT(C306:R306,$Y$3:$Y$18)</f>
        <v>-4.1855670966577403</v>
      </c>
      <c r="T306" s="7">
        <f t="shared" si="9"/>
        <v>1.4985591493068344E-2</v>
      </c>
      <c r="U306" s="3">
        <f t="shared" si="8"/>
        <v>0</v>
      </c>
    </row>
    <row r="307" spans="1:21">
      <c r="A307" s="2">
        <v>306</v>
      </c>
      <c r="B307" s="2">
        <v>0</v>
      </c>
      <c r="C307" s="8">
        <f>(data!C307-AVERAGE(data!C:C))/_xlfn.STDEV.S(data!C:C)</f>
        <v>0.37348343345732876</v>
      </c>
      <c r="D307" s="2">
        <v>1</v>
      </c>
      <c r="E307" s="2">
        <v>0</v>
      </c>
      <c r="F307" s="2">
        <v>0</v>
      </c>
      <c r="G307" s="2">
        <v>1</v>
      </c>
      <c r="H307" s="2">
        <v>0</v>
      </c>
      <c r="I307" s="2">
        <v>0</v>
      </c>
      <c r="J307" s="8">
        <f>(data!J307-AVERAGE(data!J:J))/_xlfn.STDEV.S(data!J:J)</f>
        <v>0.47221309033612496</v>
      </c>
      <c r="K307" s="2">
        <v>0</v>
      </c>
      <c r="L307" s="2">
        <v>0</v>
      </c>
      <c r="M307" s="2">
        <v>0</v>
      </c>
      <c r="N307" s="2">
        <v>1</v>
      </c>
      <c r="O307" s="2">
        <v>1</v>
      </c>
      <c r="P307" s="2">
        <v>1</v>
      </c>
      <c r="Q307" s="2">
        <v>0</v>
      </c>
      <c r="R307" s="2">
        <v>0</v>
      </c>
      <c r="S307" s="6" cm="1">
        <f t="array" ref="S307">$Y$2+MMULT(C307:R307,$Y$3:$Y$18)</f>
        <v>-4.3634995096155116</v>
      </c>
      <c r="T307" s="7">
        <f t="shared" si="9"/>
        <v>1.2573638177194882E-2</v>
      </c>
      <c r="U307" s="3">
        <f t="shared" si="8"/>
        <v>0</v>
      </c>
    </row>
    <row r="308" spans="1:21">
      <c r="A308" s="2">
        <v>307</v>
      </c>
      <c r="B308" s="2">
        <v>0</v>
      </c>
      <c r="C308" s="8">
        <f>(data!C308-AVERAGE(data!C:C))/_xlfn.STDEV.S(data!C:C)</f>
        <v>-0.7186112917064007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8">
        <f>(data!J308-AVERAGE(data!J:J))/_xlfn.STDEV.S(data!J:J)</f>
        <v>-1.0770924452729411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6" cm="1">
        <f t="array" ref="S308">$Y$2+MMULT(C308:R308,$Y$3:$Y$18)</f>
        <v>-9.8906661155882141</v>
      </c>
      <c r="T308" s="7">
        <f t="shared" si="9"/>
        <v>5.0642634392887981E-5</v>
      </c>
      <c r="U308" s="3">
        <f t="shared" si="8"/>
        <v>0</v>
      </c>
    </row>
    <row r="309" spans="1:21">
      <c r="A309" s="2">
        <v>308</v>
      </c>
      <c r="B309" s="2">
        <v>1</v>
      </c>
      <c r="C309" s="8">
        <f>(data!C309-AVERAGE(data!C:C))/_xlfn.STDEV.S(data!C:C)</f>
        <v>0.54149800655944103</v>
      </c>
      <c r="D309" s="2">
        <v>1</v>
      </c>
      <c r="E309" s="2">
        <v>0</v>
      </c>
      <c r="F309" s="2">
        <v>0</v>
      </c>
      <c r="G309" s="2">
        <v>1</v>
      </c>
      <c r="H309" s="2">
        <v>0</v>
      </c>
      <c r="I309" s="2">
        <v>0</v>
      </c>
      <c r="J309" s="8">
        <f>(data!J309-AVERAGE(data!J:J))/_xlfn.STDEV.S(data!J:J)</f>
        <v>1.8739657177919469</v>
      </c>
      <c r="K309" s="2">
        <v>0</v>
      </c>
      <c r="L309" s="2">
        <v>0</v>
      </c>
      <c r="M309" s="2">
        <v>0</v>
      </c>
      <c r="N309" s="2">
        <v>0</v>
      </c>
      <c r="O309" s="2">
        <v>1</v>
      </c>
      <c r="P309" s="2">
        <v>1</v>
      </c>
      <c r="Q309" s="2">
        <v>0</v>
      </c>
      <c r="R309" s="2">
        <v>1</v>
      </c>
      <c r="S309" s="6" cm="1">
        <f t="array" ref="S309">$Y$2+MMULT(C309:R309,$Y$3:$Y$18)</f>
        <v>-1.8491908287133496</v>
      </c>
      <c r="T309" s="7">
        <f t="shared" si="9"/>
        <v>0.1359679309812164</v>
      </c>
      <c r="U309" s="3">
        <f t="shared" si="8"/>
        <v>0</v>
      </c>
    </row>
    <row r="310" spans="1:21">
      <c r="A310" s="2">
        <v>309</v>
      </c>
      <c r="B310" s="2">
        <v>0</v>
      </c>
      <c r="C310" s="8">
        <f>(data!C310-AVERAGE(data!C:C))/_xlfn.STDEV.S(data!C:C)</f>
        <v>-1.3066622975637936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8">
        <f>(data!J310-AVERAGE(data!J:J))/_xlfn.STDEV.S(data!J:J)</f>
        <v>-0.19177499635347484</v>
      </c>
      <c r="K310" s="2">
        <v>0</v>
      </c>
      <c r="L310" s="2">
        <v>1</v>
      </c>
      <c r="M310" s="2">
        <v>0</v>
      </c>
      <c r="N310" s="2">
        <v>0</v>
      </c>
      <c r="O310" s="2">
        <v>0</v>
      </c>
      <c r="P310" s="2">
        <v>1</v>
      </c>
      <c r="Q310" s="2">
        <v>0</v>
      </c>
      <c r="R310" s="2">
        <v>0</v>
      </c>
      <c r="S310" s="6" cm="1">
        <f t="array" ref="S310">$Y$2+MMULT(C310:R310,$Y$3:$Y$18)</f>
        <v>-16.109964379474</v>
      </c>
      <c r="T310" s="7">
        <f t="shared" si="9"/>
        <v>1.0081643184185262E-7</v>
      </c>
      <c r="U310" s="3">
        <f t="shared" si="8"/>
        <v>0</v>
      </c>
    </row>
    <row r="311" spans="1:21">
      <c r="A311" s="2">
        <v>310</v>
      </c>
      <c r="B311" s="2">
        <v>0</v>
      </c>
      <c r="C311" s="8">
        <f>(data!C311-AVERAGE(data!C:C))/_xlfn.STDEV.S(data!C:C)</f>
        <v>-1.3906695841148498</v>
      </c>
      <c r="D311" s="2">
        <v>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8">
        <f>(data!J311-AVERAGE(data!J:J))/_xlfn.STDEV.S(data!J:J)</f>
        <v>-0.78198662896645244</v>
      </c>
      <c r="K311" s="2">
        <v>0</v>
      </c>
      <c r="L311" s="2">
        <v>1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s="6" cm="1">
        <f t="array" ref="S311">$Y$2+MMULT(C311:R311,$Y$3:$Y$18)</f>
        <v>-14.004015267470042</v>
      </c>
      <c r="T311" s="7">
        <f t="shared" si="9"/>
        <v>8.2819591712373381E-7</v>
      </c>
      <c r="U311" s="3">
        <f t="shared" si="8"/>
        <v>0</v>
      </c>
    </row>
    <row r="312" spans="1:21">
      <c r="A312" s="2">
        <v>311</v>
      </c>
      <c r="B312" s="2">
        <v>1</v>
      </c>
      <c r="C312" s="8">
        <f>(data!C312-AVERAGE(data!C:C))/_xlfn.STDEV.S(data!C:C)</f>
        <v>1.6755963749986986</v>
      </c>
      <c r="D312" s="2">
        <v>0</v>
      </c>
      <c r="E312" s="2">
        <v>1</v>
      </c>
      <c r="F312" s="2">
        <v>1</v>
      </c>
      <c r="G312" s="2">
        <v>1</v>
      </c>
      <c r="H312" s="2">
        <v>0</v>
      </c>
      <c r="I312" s="2">
        <v>0</v>
      </c>
      <c r="J312" s="8">
        <f>(data!J312-AVERAGE(data!J:J))/_xlfn.STDEV.S(data!J:J)</f>
        <v>1.8001892637153245</v>
      </c>
      <c r="K312" s="2">
        <v>1</v>
      </c>
      <c r="L312" s="2">
        <v>0</v>
      </c>
      <c r="M312" s="2">
        <v>1</v>
      </c>
      <c r="N312" s="2">
        <v>1</v>
      </c>
      <c r="O312" s="2">
        <v>1</v>
      </c>
      <c r="P312" s="2">
        <v>1</v>
      </c>
      <c r="Q312" s="2">
        <v>0</v>
      </c>
      <c r="R312" s="2">
        <v>0</v>
      </c>
      <c r="S312" s="6" cm="1">
        <f t="array" ref="S312">$Y$2+MMULT(C312:R312,$Y$3:$Y$18)</f>
        <v>5.0169051646533589</v>
      </c>
      <c r="T312" s="7">
        <f t="shared" si="9"/>
        <v>0.99341860344715871</v>
      </c>
      <c r="U312" s="3">
        <f t="shared" si="8"/>
        <v>1</v>
      </c>
    </row>
    <row r="313" spans="1:21">
      <c r="A313" s="2">
        <v>312</v>
      </c>
      <c r="B313" s="2">
        <v>0</v>
      </c>
      <c r="C313" s="8">
        <f>(data!C313-AVERAGE(data!C:C))/_xlfn.STDEV.S(data!C:C)</f>
        <v>0.1634652170796885</v>
      </c>
      <c r="D313" s="2">
        <v>1</v>
      </c>
      <c r="E313" s="2">
        <v>0</v>
      </c>
      <c r="F313" s="2">
        <v>0</v>
      </c>
      <c r="G313" s="2">
        <v>1</v>
      </c>
      <c r="H313" s="2">
        <v>0</v>
      </c>
      <c r="I313" s="2">
        <v>0</v>
      </c>
      <c r="J313" s="8">
        <f>(data!J313-AVERAGE(data!J:J))/_xlfn.STDEV.S(data!J:J)</f>
        <v>0.39843663625950276</v>
      </c>
      <c r="K313" s="2">
        <v>0</v>
      </c>
      <c r="L313" s="2">
        <v>0</v>
      </c>
      <c r="M313" s="2">
        <v>0</v>
      </c>
      <c r="N313" s="2">
        <v>1</v>
      </c>
      <c r="O313" s="2">
        <v>1</v>
      </c>
      <c r="P313" s="2">
        <v>1</v>
      </c>
      <c r="Q313" s="2">
        <v>0</v>
      </c>
      <c r="R313" s="2">
        <v>0</v>
      </c>
      <c r="S313" s="6" cm="1">
        <f t="array" ref="S313">$Y$2+MMULT(C313:R313,$Y$3:$Y$18)</f>
        <v>-5.6589790027784019</v>
      </c>
      <c r="T313" s="7">
        <f t="shared" si="9"/>
        <v>3.4739638577447364E-3</v>
      </c>
      <c r="U313" s="3">
        <f t="shared" si="8"/>
        <v>0</v>
      </c>
    </row>
    <row r="314" spans="1:21">
      <c r="A314" s="2">
        <v>313</v>
      </c>
      <c r="B314" s="2">
        <v>1</v>
      </c>
      <c r="C314" s="8">
        <f>(data!C314-AVERAGE(data!C:C))/_xlfn.STDEV.S(data!C:C)</f>
        <v>1.6755963749986986</v>
      </c>
      <c r="D314" s="2">
        <v>1</v>
      </c>
      <c r="E314" s="2">
        <v>1</v>
      </c>
      <c r="F314" s="2">
        <v>1</v>
      </c>
      <c r="G314" s="2">
        <v>1</v>
      </c>
      <c r="H314" s="2">
        <v>0</v>
      </c>
      <c r="I314" s="2">
        <v>0</v>
      </c>
      <c r="J314" s="8">
        <f>(data!J314-AVERAGE(data!J:J))/_xlfn.STDEV.S(data!J:J)</f>
        <v>-0.48688081265996364</v>
      </c>
      <c r="K314" s="2">
        <v>1</v>
      </c>
      <c r="L314" s="2">
        <v>0</v>
      </c>
      <c r="M314" s="2">
        <v>1</v>
      </c>
      <c r="N314" s="2">
        <v>1</v>
      </c>
      <c r="O314" s="2">
        <v>0</v>
      </c>
      <c r="P314" s="2">
        <v>0</v>
      </c>
      <c r="Q314" s="2">
        <v>1</v>
      </c>
      <c r="R314" s="2">
        <v>0</v>
      </c>
      <c r="S314" s="6" cm="1">
        <f t="array" ref="S314">$Y$2+MMULT(C314:R314,$Y$3:$Y$18)</f>
        <v>6.5438372839209968</v>
      </c>
      <c r="T314" s="7">
        <f t="shared" si="9"/>
        <v>0.99856311141194998</v>
      </c>
      <c r="U314" s="3">
        <f t="shared" si="8"/>
        <v>1</v>
      </c>
    </row>
    <row r="315" spans="1:21">
      <c r="A315" s="2">
        <v>314</v>
      </c>
      <c r="B315" s="2">
        <v>0</v>
      </c>
      <c r="C315" s="8">
        <f>(data!C315-AVERAGE(data!C:C))/_xlfn.STDEV.S(data!C:C)</f>
        <v>-0.38258214550217629</v>
      </c>
      <c r="D315" s="2">
        <v>0</v>
      </c>
      <c r="E315" s="2">
        <v>0</v>
      </c>
      <c r="F315" s="2">
        <v>0</v>
      </c>
      <c r="G315" s="2">
        <v>1</v>
      </c>
      <c r="H315" s="2">
        <v>0</v>
      </c>
      <c r="I315" s="2">
        <v>0</v>
      </c>
      <c r="J315" s="8">
        <f>(data!J315-AVERAGE(data!J:J))/_xlfn.STDEV.S(data!J:J)</f>
        <v>0.54598954441274716</v>
      </c>
      <c r="K315" s="2">
        <v>0</v>
      </c>
      <c r="L315" s="2">
        <v>0</v>
      </c>
      <c r="M315" s="2">
        <v>1</v>
      </c>
      <c r="N315" s="2">
        <v>1</v>
      </c>
      <c r="O315" s="2">
        <v>1</v>
      </c>
      <c r="P315" s="2">
        <v>1</v>
      </c>
      <c r="Q315" s="2">
        <v>0</v>
      </c>
      <c r="R315" s="2">
        <v>0</v>
      </c>
      <c r="S315" s="6" cm="1">
        <f t="array" ref="S315">$Y$2+MMULT(C315:R315,$Y$3:$Y$18)</f>
        <v>-7.5083510949587806</v>
      </c>
      <c r="T315" s="7">
        <f t="shared" si="9"/>
        <v>5.4818407214709413E-4</v>
      </c>
      <c r="U315" s="3">
        <f t="shared" si="8"/>
        <v>0</v>
      </c>
    </row>
    <row r="316" spans="1:21">
      <c r="A316" s="2">
        <v>315</v>
      </c>
      <c r="B316" s="2">
        <v>1</v>
      </c>
      <c r="C316" s="8">
        <f>(data!C316-AVERAGE(data!C:C))/_xlfn.STDEV.S(data!C:C)</f>
        <v>1.6755963749986986</v>
      </c>
      <c r="D316" s="2">
        <v>0</v>
      </c>
      <c r="E316" s="2">
        <v>0</v>
      </c>
      <c r="F316" s="2">
        <v>1</v>
      </c>
      <c r="G316" s="2">
        <v>1</v>
      </c>
      <c r="H316" s="2">
        <v>0</v>
      </c>
      <c r="I316" s="2">
        <v>0</v>
      </c>
      <c r="J316" s="8">
        <f>(data!J316-AVERAGE(data!J:J))/_xlfn.STDEV.S(data!J:J)</f>
        <v>-0.85576308304307458</v>
      </c>
      <c r="K316" s="2">
        <v>1</v>
      </c>
      <c r="L316" s="2">
        <v>0</v>
      </c>
      <c r="M316" s="2">
        <v>0</v>
      </c>
      <c r="N316" s="2">
        <v>0</v>
      </c>
      <c r="O316" s="2">
        <v>1</v>
      </c>
      <c r="P316" s="2">
        <v>1</v>
      </c>
      <c r="Q316" s="2">
        <v>0</v>
      </c>
      <c r="R316" s="2">
        <v>1</v>
      </c>
      <c r="S316" s="6" cm="1">
        <f t="array" ref="S316">$Y$2+MMULT(C316:R316,$Y$3:$Y$18)</f>
        <v>2.750076301838897</v>
      </c>
      <c r="T316" s="7">
        <f t="shared" si="9"/>
        <v>0.93991765892267065</v>
      </c>
      <c r="U316" s="3">
        <f t="shared" si="8"/>
        <v>1</v>
      </c>
    </row>
    <row r="317" spans="1:21">
      <c r="A317" s="2">
        <v>316</v>
      </c>
      <c r="B317" s="2">
        <v>0</v>
      </c>
      <c r="C317" s="8">
        <f>(data!C317-AVERAGE(data!C:C))/_xlfn.STDEV.S(data!C:C)</f>
        <v>-0.55059671860428849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8">
        <f>(data!J317-AVERAGE(data!J:J))/_xlfn.STDEV.S(data!J:J)</f>
        <v>0.54598954441274716</v>
      </c>
      <c r="K317" s="2">
        <v>0</v>
      </c>
      <c r="L317" s="2">
        <v>1</v>
      </c>
      <c r="M317" s="2">
        <v>0</v>
      </c>
      <c r="N317" s="2">
        <v>1</v>
      </c>
      <c r="O317" s="2">
        <v>1</v>
      </c>
      <c r="P317" s="2">
        <v>1</v>
      </c>
      <c r="Q317" s="2">
        <v>0</v>
      </c>
      <c r="R317" s="2">
        <v>0</v>
      </c>
      <c r="S317" s="6" cm="1">
        <f t="array" ref="S317">$Y$2+MMULT(C317:R317,$Y$3:$Y$18)</f>
        <v>-10.105124517283928</v>
      </c>
      <c r="T317" s="7">
        <f t="shared" si="9"/>
        <v>4.0867910548444478E-5</v>
      </c>
      <c r="U317" s="3">
        <f t="shared" si="8"/>
        <v>0</v>
      </c>
    </row>
    <row r="318" spans="1:21">
      <c r="A318" s="2">
        <v>317</v>
      </c>
      <c r="B318" s="2">
        <v>0</v>
      </c>
      <c r="C318" s="8">
        <f>(data!C318-AVERAGE(data!C:C))/_xlfn.STDEV.S(data!C:C)</f>
        <v>-1.1806513677372095</v>
      </c>
      <c r="D318" s="2">
        <v>1</v>
      </c>
      <c r="E318" s="2">
        <v>1</v>
      </c>
      <c r="F318" s="2">
        <v>0</v>
      </c>
      <c r="G318" s="2">
        <v>0</v>
      </c>
      <c r="H318" s="2">
        <v>1</v>
      </c>
      <c r="I318" s="2">
        <v>0</v>
      </c>
      <c r="J318" s="8">
        <f>(data!J318-AVERAGE(data!J:J))/_xlfn.STDEV.S(data!J:J)</f>
        <v>0.76731890664261382</v>
      </c>
      <c r="K318" s="2">
        <v>0</v>
      </c>
      <c r="L318" s="2">
        <v>1</v>
      </c>
      <c r="M318" s="2">
        <v>0</v>
      </c>
      <c r="N318" s="2">
        <v>1</v>
      </c>
      <c r="O318" s="2">
        <v>0</v>
      </c>
      <c r="P318" s="2">
        <v>1</v>
      </c>
      <c r="Q318" s="2">
        <v>0</v>
      </c>
      <c r="R318" s="2">
        <v>0</v>
      </c>
      <c r="S318" s="6" cm="1">
        <f t="array" ref="S318">$Y$2+MMULT(C318:R318,$Y$3:$Y$18)</f>
        <v>-18.233122005501173</v>
      </c>
      <c r="T318" s="7">
        <f t="shared" si="9"/>
        <v>1.2063010890469022E-8</v>
      </c>
      <c r="U318" s="3">
        <f t="shared" si="8"/>
        <v>0</v>
      </c>
    </row>
    <row r="319" spans="1:21">
      <c r="A319" s="2">
        <v>318</v>
      </c>
      <c r="B319" s="2">
        <v>1</v>
      </c>
      <c r="C319" s="8">
        <f>(data!C319-AVERAGE(data!C:C))/_xlfn.STDEV.S(data!C:C)</f>
        <v>1.3815708720700022</v>
      </c>
      <c r="D319" s="2">
        <v>1</v>
      </c>
      <c r="E319" s="2">
        <v>1</v>
      </c>
      <c r="F319" s="2">
        <v>0</v>
      </c>
      <c r="G319" s="2">
        <v>0</v>
      </c>
      <c r="H319" s="2">
        <v>0</v>
      </c>
      <c r="I319" s="2">
        <v>0</v>
      </c>
      <c r="J319" s="8">
        <f>(data!J319-AVERAGE(data!J:J))/_xlfn.STDEV.S(data!J:J)</f>
        <v>0.91487181479585822</v>
      </c>
      <c r="K319" s="2">
        <v>1</v>
      </c>
      <c r="L319" s="2">
        <v>0</v>
      </c>
      <c r="M319" s="2">
        <v>1</v>
      </c>
      <c r="N319" s="2">
        <v>1</v>
      </c>
      <c r="O319" s="2">
        <v>0</v>
      </c>
      <c r="P319" s="2">
        <v>0</v>
      </c>
      <c r="Q319" s="2">
        <v>0</v>
      </c>
      <c r="R319" s="2">
        <v>0</v>
      </c>
      <c r="S319" s="6" cm="1">
        <f t="array" ref="S319">$Y$2+MMULT(C319:R319,$Y$3:$Y$18)</f>
        <v>5.9749428440821006</v>
      </c>
      <c r="T319" s="7">
        <f t="shared" si="9"/>
        <v>0.99746479624111772</v>
      </c>
      <c r="U319" s="3">
        <f t="shared" si="8"/>
        <v>1</v>
      </c>
    </row>
    <row r="320" spans="1:21">
      <c r="A320" s="2">
        <v>319</v>
      </c>
      <c r="B320" s="2">
        <v>0</v>
      </c>
      <c r="C320" s="8">
        <f>(data!C320-AVERAGE(data!C:C))/_xlfn.STDEV.S(data!C:C)</f>
        <v>0.41548707673285684</v>
      </c>
      <c r="D320" s="2">
        <v>0</v>
      </c>
      <c r="E320" s="2">
        <v>1</v>
      </c>
      <c r="F320" s="2">
        <v>0</v>
      </c>
      <c r="G320" s="2">
        <v>1</v>
      </c>
      <c r="H320" s="2">
        <v>0</v>
      </c>
      <c r="I320" s="2">
        <v>0</v>
      </c>
      <c r="J320" s="8">
        <f>(data!J320-AVERAGE(data!J:J))/_xlfn.STDEV.S(data!J:J)</f>
        <v>-0.26555145043009704</v>
      </c>
      <c r="K320" s="2">
        <v>1</v>
      </c>
      <c r="L320" s="2">
        <v>0</v>
      </c>
      <c r="M320" s="2">
        <v>0</v>
      </c>
      <c r="N320" s="2">
        <v>1</v>
      </c>
      <c r="O320" s="2">
        <v>0</v>
      </c>
      <c r="P320" s="2">
        <v>1</v>
      </c>
      <c r="Q320" s="2">
        <v>0</v>
      </c>
      <c r="R320" s="2">
        <v>0</v>
      </c>
      <c r="S320" s="6" cm="1">
        <f t="array" ref="S320">$Y$2+MMULT(C320:R320,$Y$3:$Y$18)</f>
        <v>-6.3156713415175902</v>
      </c>
      <c r="T320" s="7">
        <f t="shared" si="9"/>
        <v>1.8044896650194983E-3</v>
      </c>
      <c r="U320" s="3">
        <f t="shared" si="8"/>
        <v>0</v>
      </c>
    </row>
    <row r="321" spans="1:21">
      <c r="A321" s="2">
        <v>320</v>
      </c>
      <c r="B321" s="2">
        <v>1</v>
      </c>
      <c r="C321" s="8">
        <f>(data!C321-AVERAGE(data!C:C))/_xlfn.STDEV.S(data!C:C)</f>
        <v>1.2135562989678899</v>
      </c>
      <c r="D321" s="2">
        <v>0</v>
      </c>
      <c r="E321" s="2">
        <v>1</v>
      </c>
      <c r="F321" s="2">
        <v>1</v>
      </c>
      <c r="G321" s="2">
        <v>0</v>
      </c>
      <c r="H321" s="2">
        <v>0</v>
      </c>
      <c r="I321" s="2">
        <v>0</v>
      </c>
      <c r="J321" s="8">
        <f>(data!J321-AVERAGE(data!J:J))/_xlfn.STDEV.S(data!J:J)</f>
        <v>-0.56065726673658578</v>
      </c>
      <c r="K321" s="2">
        <v>1</v>
      </c>
      <c r="L321" s="2">
        <v>0</v>
      </c>
      <c r="M321" s="2">
        <v>1</v>
      </c>
      <c r="N321" s="2">
        <v>1</v>
      </c>
      <c r="O321" s="2">
        <v>1</v>
      </c>
      <c r="P321" s="2">
        <v>1</v>
      </c>
      <c r="Q321" s="2">
        <v>1</v>
      </c>
      <c r="R321" s="2">
        <v>0</v>
      </c>
      <c r="S321" s="6" cm="1">
        <f t="array" ref="S321">$Y$2+MMULT(C321:R321,$Y$3:$Y$18)</f>
        <v>2.5883423231604432</v>
      </c>
      <c r="T321" s="7">
        <f t="shared" si="9"/>
        <v>0.93010753248044054</v>
      </c>
      <c r="U321" s="3">
        <f t="shared" si="8"/>
        <v>1</v>
      </c>
    </row>
    <row r="322" spans="1:21">
      <c r="A322" s="2">
        <v>321</v>
      </c>
      <c r="B322" s="2">
        <v>0</v>
      </c>
      <c r="C322" s="8">
        <f>(data!C322-AVERAGE(data!C:C))/_xlfn.STDEV.S(data!C:C)</f>
        <v>-0.50859307532876041</v>
      </c>
      <c r="D322" s="2">
        <v>1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J322" s="8">
        <f>(data!J322-AVERAGE(data!J:J))/_xlfn.STDEV.S(data!J:J)</f>
        <v>-1.2246453534261856</v>
      </c>
      <c r="K322" s="2">
        <v>0</v>
      </c>
      <c r="L322" s="2">
        <v>0</v>
      </c>
      <c r="M322" s="2">
        <v>0</v>
      </c>
      <c r="N322" s="2">
        <v>0</v>
      </c>
      <c r="O322" s="2">
        <v>1</v>
      </c>
      <c r="P322" s="2">
        <v>1</v>
      </c>
      <c r="Q322" s="2">
        <v>0</v>
      </c>
      <c r="R322" s="2">
        <v>0</v>
      </c>
      <c r="S322" s="6" cm="1">
        <f t="array" ref="S322">$Y$2+MMULT(C322:R322,$Y$3:$Y$18)</f>
        <v>-10.165184161729831</v>
      </c>
      <c r="T322" s="7">
        <f t="shared" si="9"/>
        <v>3.8485744875250607E-5</v>
      </c>
      <c r="U322" s="3">
        <f t="shared" ref="U322:U385" si="10">IF(T322&gt;=cut,1,0)</f>
        <v>0</v>
      </c>
    </row>
    <row r="323" spans="1:21">
      <c r="A323" s="2">
        <v>322</v>
      </c>
      <c r="B323" s="2">
        <v>1</v>
      </c>
      <c r="C323" s="8">
        <f>(data!C323-AVERAGE(data!C:C))/_xlfn.STDEV.S(data!C:C)</f>
        <v>1.6755963749986986</v>
      </c>
      <c r="D323" s="2">
        <v>1</v>
      </c>
      <c r="E323" s="2">
        <v>0</v>
      </c>
      <c r="F323" s="2">
        <v>1</v>
      </c>
      <c r="G323" s="2">
        <v>1</v>
      </c>
      <c r="H323" s="2">
        <v>0</v>
      </c>
      <c r="I323" s="2">
        <v>0</v>
      </c>
      <c r="J323" s="8">
        <f>(data!J323-AVERAGE(data!J:J))/_xlfn.STDEV.S(data!J:J)</f>
        <v>1.8739657177919469</v>
      </c>
      <c r="K323" s="2">
        <v>0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  <c r="S323" s="6" cm="1">
        <f t="array" ref="S323">$Y$2+MMULT(C323:R323,$Y$3:$Y$18)</f>
        <v>4.2868325052151075</v>
      </c>
      <c r="T323" s="7">
        <f t="shared" ref="T323:T386" si="11">EXP(S323)/(1+EXP(S323))</f>
        <v>0.98643805076224211</v>
      </c>
      <c r="U323" s="3">
        <f t="shared" si="10"/>
        <v>1</v>
      </c>
    </row>
    <row r="324" spans="1:21">
      <c r="A324" s="2">
        <v>323</v>
      </c>
      <c r="B324" s="2">
        <v>0</v>
      </c>
      <c r="C324" s="8">
        <f>(data!C324-AVERAGE(data!C:C))/_xlfn.STDEV.S(data!C:C)</f>
        <v>-1.3066622975637936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8">
        <f>(data!J324-AVERAGE(data!J:J))/_xlfn.STDEV.S(data!J:J)</f>
        <v>1.4313069933322136</v>
      </c>
      <c r="K324" s="2">
        <v>0</v>
      </c>
      <c r="L324" s="2">
        <v>0</v>
      </c>
      <c r="M324" s="2">
        <v>0</v>
      </c>
      <c r="N324" s="2">
        <v>0</v>
      </c>
      <c r="O324" s="2">
        <v>1</v>
      </c>
      <c r="P324" s="2">
        <v>1</v>
      </c>
      <c r="Q324" s="2">
        <v>0</v>
      </c>
      <c r="R324" s="2">
        <v>0</v>
      </c>
      <c r="S324" s="6" cm="1">
        <f t="array" ref="S324">$Y$2+MMULT(C324:R324,$Y$3:$Y$18)</f>
        <v>-12.787621999746987</v>
      </c>
      <c r="T324" s="7">
        <f t="shared" si="11"/>
        <v>2.795149973818978E-6</v>
      </c>
      <c r="U324" s="3">
        <f t="shared" si="10"/>
        <v>0</v>
      </c>
    </row>
    <row r="325" spans="1:21">
      <c r="A325" s="2">
        <v>324</v>
      </c>
      <c r="B325" s="2">
        <v>0</v>
      </c>
      <c r="C325" s="8">
        <f>(data!C325-AVERAGE(data!C:C))/_xlfn.STDEV.S(data!C:C)</f>
        <v>-0.7186112917064007</v>
      </c>
      <c r="D325" s="2">
        <v>1</v>
      </c>
      <c r="E325" s="2">
        <v>0</v>
      </c>
      <c r="F325" s="2">
        <v>0</v>
      </c>
      <c r="G325" s="2">
        <v>1</v>
      </c>
      <c r="H325" s="2">
        <v>0</v>
      </c>
      <c r="I325" s="2">
        <v>0</v>
      </c>
      <c r="J325" s="8">
        <f>(data!J325-AVERAGE(data!J:J))/_xlfn.STDEV.S(data!J:J)</f>
        <v>1.5050834474088357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1</v>
      </c>
      <c r="Q325" s="2">
        <v>0</v>
      </c>
      <c r="R325" s="2">
        <v>0</v>
      </c>
      <c r="S325" s="6" cm="1">
        <f t="array" ref="S325">$Y$2+MMULT(C325:R325,$Y$3:$Y$18)</f>
        <v>-11.962015966098681</v>
      </c>
      <c r="T325" s="7">
        <f t="shared" si="11"/>
        <v>6.3820426443252371E-6</v>
      </c>
      <c r="U325" s="3">
        <f t="shared" si="10"/>
        <v>0</v>
      </c>
    </row>
    <row r="326" spans="1:21">
      <c r="A326" s="2">
        <v>325</v>
      </c>
      <c r="B326" s="2">
        <v>0</v>
      </c>
      <c r="C326" s="8">
        <f>(data!C326-AVERAGE(data!C:C))/_xlfn.STDEV.S(data!C:C)</f>
        <v>-0.50859307532876041</v>
      </c>
      <c r="D326" s="2">
        <v>1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8">
        <f>(data!J326-AVERAGE(data!J:J))/_xlfn.STDEV.S(data!J:J)</f>
        <v>-0.33932790450671924</v>
      </c>
      <c r="K326" s="2">
        <v>0</v>
      </c>
      <c r="L326" s="2">
        <v>0</v>
      </c>
      <c r="M326" s="2">
        <v>0</v>
      </c>
      <c r="N326" s="2">
        <v>0</v>
      </c>
      <c r="O326" s="2">
        <v>1</v>
      </c>
      <c r="P326" s="2">
        <v>1</v>
      </c>
      <c r="Q326" s="2">
        <v>0</v>
      </c>
      <c r="R326" s="2">
        <v>0</v>
      </c>
      <c r="S326" s="6" cm="1">
        <f t="array" ref="S326">$Y$2+MMULT(C326:R326,$Y$3:$Y$18)</f>
        <v>-8.9022573550239876</v>
      </c>
      <c r="T326" s="7">
        <f t="shared" si="11"/>
        <v>1.360628798609424E-4</v>
      </c>
      <c r="U326" s="3">
        <f t="shared" si="10"/>
        <v>0</v>
      </c>
    </row>
    <row r="327" spans="1:21">
      <c r="A327" s="2">
        <v>326</v>
      </c>
      <c r="B327" s="2">
        <v>0</v>
      </c>
      <c r="C327" s="8">
        <f>(data!C327-AVERAGE(data!C:C))/_xlfn.STDEV.S(data!C:C)</f>
        <v>-0.42458578877770431</v>
      </c>
      <c r="D327" s="2">
        <v>0</v>
      </c>
      <c r="E327" s="2">
        <v>0</v>
      </c>
      <c r="F327" s="2">
        <v>1</v>
      </c>
      <c r="G327" s="2">
        <v>0</v>
      </c>
      <c r="H327" s="2">
        <v>0</v>
      </c>
      <c r="I327" s="2">
        <v>0</v>
      </c>
      <c r="J327" s="8">
        <f>(data!J327-AVERAGE(data!J:J))/_xlfn.STDEV.S(data!J:J)</f>
        <v>-4.4222088200230422E-2</v>
      </c>
      <c r="K327" s="2">
        <v>0</v>
      </c>
      <c r="L327" s="2">
        <v>0</v>
      </c>
      <c r="M327" s="2">
        <v>0</v>
      </c>
      <c r="N327" s="2">
        <v>1</v>
      </c>
      <c r="O327" s="2">
        <v>0</v>
      </c>
      <c r="P327" s="2">
        <v>1</v>
      </c>
      <c r="Q327" s="2">
        <v>0</v>
      </c>
      <c r="R327" s="2">
        <v>0</v>
      </c>
      <c r="S327" s="6" cm="1">
        <f t="array" ref="S327">$Y$2+MMULT(C327:R327,$Y$3:$Y$18)</f>
        <v>-11.172185054991996</v>
      </c>
      <c r="T327" s="7">
        <f t="shared" si="11"/>
        <v>1.405968445223992E-5</v>
      </c>
      <c r="U327" s="3">
        <f t="shared" si="10"/>
        <v>0</v>
      </c>
    </row>
    <row r="328" spans="1:21">
      <c r="A328" s="2">
        <v>327</v>
      </c>
      <c r="B328" s="2">
        <v>0</v>
      </c>
      <c r="C328" s="8">
        <f>(data!C328-AVERAGE(data!C:C))/_xlfn.STDEV.S(data!C:C)</f>
        <v>1.6755963749986986</v>
      </c>
      <c r="D328" s="2">
        <v>1</v>
      </c>
      <c r="E328" s="2">
        <v>1</v>
      </c>
      <c r="F328" s="2">
        <v>0</v>
      </c>
      <c r="G328" s="2">
        <v>0</v>
      </c>
      <c r="H328" s="2">
        <v>0</v>
      </c>
      <c r="I328" s="2">
        <v>0</v>
      </c>
      <c r="J328" s="8">
        <f>(data!J328-AVERAGE(data!J:J))/_xlfn.STDEV.S(data!J:J)</f>
        <v>0.17710727402963619</v>
      </c>
      <c r="K328" s="2">
        <v>0</v>
      </c>
      <c r="L328" s="2">
        <v>1</v>
      </c>
      <c r="M328" s="2">
        <v>1</v>
      </c>
      <c r="N328" s="2">
        <v>1</v>
      </c>
      <c r="O328" s="2">
        <v>0</v>
      </c>
      <c r="P328" s="2">
        <v>0</v>
      </c>
      <c r="Q328" s="2">
        <v>1</v>
      </c>
      <c r="R328" s="2">
        <v>0</v>
      </c>
      <c r="S328" s="6" cm="1">
        <f t="array" ref="S328">$Y$2+MMULT(C328:R328,$Y$3:$Y$18)</f>
        <v>7.2006127750816589</v>
      </c>
      <c r="T328" s="7">
        <f t="shared" si="11"/>
        <v>0.99925442783327478</v>
      </c>
      <c r="U328" s="3">
        <f t="shared" si="10"/>
        <v>1</v>
      </c>
    </row>
    <row r="329" spans="1:21">
      <c r="A329" s="2">
        <v>328</v>
      </c>
      <c r="B329" s="2">
        <v>0</v>
      </c>
      <c r="C329" s="8">
        <f>(data!C329-AVERAGE(data!C:C))/_xlfn.STDEV.S(data!C:C)</f>
        <v>-4.6552999297951793E-2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8">
        <f>(data!J329-AVERAGE(data!J:J))/_xlfn.STDEV.S(data!J:J)</f>
        <v>-0.41310435858334144</v>
      </c>
      <c r="K329" s="2">
        <v>0</v>
      </c>
      <c r="L329" s="2">
        <v>1</v>
      </c>
      <c r="M329" s="2">
        <v>0</v>
      </c>
      <c r="N329" s="2">
        <v>1</v>
      </c>
      <c r="O329" s="2">
        <v>0</v>
      </c>
      <c r="P329" s="2">
        <v>1</v>
      </c>
      <c r="Q329" s="2">
        <v>0</v>
      </c>
      <c r="R329" s="2">
        <v>0</v>
      </c>
      <c r="S329" s="6" cm="1">
        <f t="array" ref="S329">$Y$2+MMULT(C329:R329,$Y$3:$Y$18)</f>
        <v>-9.3722207062724063</v>
      </c>
      <c r="T329" s="7">
        <f t="shared" si="11"/>
        <v>8.5047064309138988E-5</v>
      </c>
      <c r="U329" s="3">
        <f t="shared" si="10"/>
        <v>0</v>
      </c>
    </row>
    <row r="330" spans="1:21">
      <c r="A330" s="2">
        <v>329</v>
      </c>
      <c r="B330" s="2">
        <v>0</v>
      </c>
      <c r="C330" s="8">
        <f>(data!C330-AVERAGE(data!C:C))/_xlfn.STDEV.S(data!C:C)</f>
        <v>1.0455417258657778</v>
      </c>
      <c r="D330" s="2">
        <v>0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8">
        <f>(data!J330-AVERAGE(data!J:J))/_xlfn.STDEV.S(data!J:J)</f>
        <v>2.9554365876391778E-2</v>
      </c>
      <c r="K330" s="2">
        <v>1</v>
      </c>
      <c r="L330" s="2">
        <v>1</v>
      </c>
      <c r="M330" s="2">
        <v>0</v>
      </c>
      <c r="N330" s="2">
        <v>1</v>
      </c>
      <c r="O330" s="2">
        <v>1</v>
      </c>
      <c r="P330" s="2">
        <v>1</v>
      </c>
      <c r="Q330" s="2">
        <v>0</v>
      </c>
      <c r="R330" s="2">
        <v>1</v>
      </c>
      <c r="S330" s="6" cm="1">
        <f t="array" ref="S330">$Y$2+MMULT(C330:R330,$Y$3:$Y$18)</f>
        <v>-0.5625098724094677</v>
      </c>
      <c r="T330" s="7">
        <f t="shared" si="11"/>
        <v>0.36296692279890097</v>
      </c>
      <c r="U330" s="3">
        <f t="shared" si="10"/>
        <v>0</v>
      </c>
    </row>
    <row r="331" spans="1:21">
      <c r="A331" s="2">
        <v>330</v>
      </c>
      <c r="B331" s="2">
        <v>0</v>
      </c>
      <c r="C331" s="8">
        <f>(data!C331-AVERAGE(data!C:C))/_xlfn.STDEV.S(data!C:C)</f>
        <v>0.5835016498349691</v>
      </c>
      <c r="D331" s="2">
        <v>0</v>
      </c>
      <c r="E331" s="2">
        <v>1</v>
      </c>
      <c r="F331" s="2">
        <v>0</v>
      </c>
      <c r="G331" s="2">
        <v>0</v>
      </c>
      <c r="H331" s="2">
        <v>0</v>
      </c>
      <c r="I331" s="2">
        <v>0</v>
      </c>
      <c r="J331" s="8">
        <f>(data!J331-AVERAGE(data!J:J))/_xlfn.STDEV.S(data!J:J)</f>
        <v>-0.48688081265996364</v>
      </c>
      <c r="K331" s="2">
        <v>1</v>
      </c>
      <c r="L331" s="2">
        <v>0</v>
      </c>
      <c r="M331" s="2">
        <v>1</v>
      </c>
      <c r="N331" s="2">
        <v>1</v>
      </c>
      <c r="O331" s="2">
        <v>1</v>
      </c>
      <c r="P331" s="2">
        <v>1</v>
      </c>
      <c r="Q331" s="2">
        <v>0</v>
      </c>
      <c r="R331" s="2">
        <v>0</v>
      </c>
      <c r="S331" s="6" cm="1">
        <f t="array" ref="S331">$Y$2+MMULT(C331:R331,$Y$3:$Y$18)</f>
        <v>-1.5088063747105394</v>
      </c>
      <c r="T331" s="7">
        <f t="shared" si="11"/>
        <v>0.18111575572925764</v>
      </c>
      <c r="U331" s="3">
        <f t="shared" si="10"/>
        <v>0</v>
      </c>
    </row>
    <row r="332" spans="1:21">
      <c r="A332" s="2">
        <v>331</v>
      </c>
      <c r="B332" s="2">
        <v>0</v>
      </c>
      <c r="C332" s="8">
        <f>(data!C332-AVERAGE(data!C:C))/_xlfn.STDEV.S(data!C:C)</f>
        <v>1.3815708720700022</v>
      </c>
      <c r="D332" s="2">
        <v>0</v>
      </c>
      <c r="E332" s="2">
        <v>1</v>
      </c>
      <c r="F332" s="2">
        <v>0</v>
      </c>
      <c r="G332" s="2">
        <v>1</v>
      </c>
      <c r="H332" s="2">
        <v>0</v>
      </c>
      <c r="I332" s="2">
        <v>0</v>
      </c>
      <c r="J332" s="8">
        <f>(data!J332-AVERAGE(data!J:J))/_xlfn.STDEV.S(data!J:J)</f>
        <v>1.2099776311023469</v>
      </c>
      <c r="K332" s="2">
        <v>0</v>
      </c>
      <c r="L332" s="2">
        <v>0</v>
      </c>
      <c r="M332" s="2">
        <v>1</v>
      </c>
      <c r="N332" s="2">
        <v>1</v>
      </c>
      <c r="O332" s="2">
        <v>1</v>
      </c>
      <c r="P332" s="2">
        <v>1</v>
      </c>
      <c r="Q332" s="2">
        <v>0</v>
      </c>
      <c r="R332" s="2">
        <v>0</v>
      </c>
      <c r="S332" s="6" cm="1">
        <f t="array" ref="S332">$Y$2+MMULT(C332:R332,$Y$3:$Y$18)</f>
        <v>3.2759615855942155</v>
      </c>
      <c r="T332" s="7">
        <f t="shared" si="11"/>
        <v>0.96359488183703812</v>
      </c>
      <c r="U332" s="3">
        <f t="shared" si="10"/>
        <v>1</v>
      </c>
    </row>
    <row r="333" spans="1:21">
      <c r="A333" s="2">
        <v>332</v>
      </c>
      <c r="B333" s="2">
        <v>0</v>
      </c>
      <c r="C333" s="8">
        <f>(data!C333-AVERAGE(data!C:C))/_xlfn.STDEV.S(data!C:C)</f>
        <v>0.24747250363074461</v>
      </c>
      <c r="D333" s="2">
        <v>0</v>
      </c>
      <c r="E333" s="2">
        <v>0</v>
      </c>
      <c r="F333" s="2">
        <v>1</v>
      </c>
      <c r="G333" s="2">
        <v>0</v>
      </c>
      <c r="H333" s="2">
        <v>0</v>
      </c>
      <c r="I333" s="2">
        <v>1</v>
      </c>
      <c r="J333" s="8">
        <f>(data!J333-AVERAGE(data!J:J))/_xlfn.STDEV.S(data!J:J)</f>
        <v>-1.1508688993495635</v>
      </c>
      <c r="K333" s="2">
        <v>0</v>
      </c>
      <c r="L333" s="2">
        <v>0</v>
      </c>
      <c r="M333" s="2">
        <v>0</v>
      </c>
      <c r="N333" s="2">
        <v>1</v>
      </c>
      <c r="O333" s="2">
        <v>1</v>
      </c>
      <c r="P333" s="2">
        <v>1</v>
      </c>
      <c r="Q333" s="2">
        <v>0</v>
      </c>
      <c r="R333" s="2">
        <v>0</v>
      </c>
      <c r="S333" s="6" cm="1">
        <f t="array" ref="S333">$Y$2+MMULT(C333:R333,$Y$3:$Y$18)</f>
        <v>-5.2757462683161904</v>
      </c>
      <c r="T333" s="7">
        <f t="shared" si="11"/>
        <v>5.0881174255577614E-3</v>
      </c>
      <c r="U333" s="3">
        <f t="shared" si="10"/>
        <v>0</v>
      </c>
    </row>
    <row r="334" spans="1:21">
      <c r="A334" s="2">
        <v>333</v>
      </c>
      <c r="B334" s="2">
        <v>0</v>
      </c>
      <c r="C334" s="8">
        <f>(data!C334-AVERAGE(data!C:C))/_xlfn.STDEV.S(data!C:C)</f>
        <v>1.4235745153455301</v>
      </c>
      <c r="D334" s="2">
        <v>1</v>
      </c>
      <c r="E334" s="2">
        <v>0</v>
      </c>
      <c r="F334" s="2">
        <v>1</v>
      </c>
      <c r="G334" s="2">
        <v>1</v>
      </c>
      <c r="H334" s="2">
        <v>0</v>
      </c>
      <c r="I334" s="2">
        <v>0</v>
      </c>
      <c r="J334" s="8">
        <f>(data!J334-AVERAGE(data!J:J))/_xlfn.STDEV.S(data!J:J)</f>
        <v>1.5788599014854581</v>
      </c>
      <c r="K334" s="2">
        <v>0</v>
      </c>
      <c r="L334" s="2">
        <v>1</v>
      </c>
      <c r="M334" s="2">
        <v>0</v>
      </c>
      <c r="N334" s="2">
        <v>1</v>
      </c>
      <c r="O334" s="2">
        <v>0</v>
      </c>
      <c r="P334" s="2">
        <v>1</v>
      </c>
      <c r="Q334" s="2">
        <v>0</v>
      </c>
      <c r="R334" s="2">
        <v>0</v>
      </c>
      <c r="S334" s="6" cm="1">
        <f t="array" ref="S334">$Y$2+MMULT(C334:R334,$Y$3:$Y$18)</f>
        <v>-0.58930219718319554</v>
      </c>
      <c r="T334" s="7">
        <f t="shared" si="11"/>
        <v>0.35679497868668908</v>
      </c>
      <c r="U334" s="3">
        <f t="shared" si="10"/>
        <v>0</v>
      </c>
    </row>
    <row r="335" spans="1:21">
      <c r="A335" s="2">
        <v>334</v>
      </c>
      <c r="B335" s="2">
        <v>0</v>
      </c>
      <c r="C335" s="8">
        <f>(data!C335-AVERAGE(data!C:C))/_xlfn.STDEV.S(data!C:C)</f>
        <v>0.1634652170796885</v>
      </c>
      <c r="D335" s="2">
        <v>1</v>
      </c>
      <c r="E335" s="2">
        <v>1</v>
      </c>
      <c r="F335" s="2">
        <v>1</v>
      </c>
      <c r="G335" s="2">
        <v>1</v>
      </c>
      <c r="H335" s="2">
        <v>0</v>
      </c>
      <c r="I335" s="2">
        <v>0</v>
      </c>
      <c r="J335" s="8">
        <f>(data!J335-AVERAGE(data!J:J))/_xlfn.STDEV.S(data!J:J)</f>
        <v>0.69354245256599156</v>
      </c>
      <c r="K335" s="2">
        <v>0</v>
      </c>
      <c r="L335" s="2">
        <v>0</v>
      </c>
      <c r="M335" s="2">
        <v>0</v>
      </c>
      <c r="N335" s="2">
        <v>0</v>
      </c>
      <c r="O335" s="2">
        <v>1</v>
      </c>
      <c r="P335" s="2">
        <v>1</v>
      </c>
      <c r="Q335" s="2">
        <v>0</v>
      </c>
      <c r="R335" s="2">
        <v>0</v>
      </c>
      <c r="S335" s="6" cm="1">
        <f t="array" ref="S335">$Y$2+MMULT(C335:R335,$Y$3:$Y$18)</f>
        <v>-5.7479335211247218</v>
      </c>
      <c r="T335" s="7">
        <f t="shared" si="11"/>
        <v>3.1792250379873116E-3</v>
      </c>
      <c r="U335" s="3">
        <f t="shared" si="10"/>
        <v>0</v>
      </c>
    </row>
    <row r="336" spans="1:21">
      <c r="A336" s="2">
        <v>335</v>
      </c>
      <c r="B336" s="2">
        <v>0</v>
      </c>
      <c r="C336" s="8">
        <f>(data!C336-AVERAGE(data!C:C))/_xlfn.STDEV.S(data!C:C)</f>
        <v>-0.46658943205323239</v>
      </c>
      <c r="D336" s="2">
        <v>1</v>
      </c>
      <c r="E336" s="2">
        <v>0</v>
      </c>
      <c r="F336" s="2">
        <v>1</v>
      </c>
      <c r="G336" s="2">
        <v>1</v>
      </c>
      <c r="H336" s="2">
        <v>0</v>
      </c>
      <c r="I336" s="2">
        <v>0</v>
      </c>
      <c r="J336" s="8">
        <f>(data!J336-AVERAGE(data!J:J))/_xlfn.STDEV.S(data!J:J)</f>
        <v>-0.63443372081320804</v>
      </c>
      <c r="K336" s="2">
        <v>0</v>
      </c>
      <c r="L336" s="2">
        <v>0</v>
      </c>
      <c r="M336" s="2">
        <v>0</v>
      </c>
      <c r="N336" s="2">
        <v>0</v>
      </c>
      <c r="O336" s="2">
        <v>1</v>
      </c>
      <c r="P336" s="2">
        <v>1</v>
      </c>
      <c r="Q336" s="2">
        <v>0</v>
      </c>
      <c r="R336" s="2">
        <v>0</v>
      </c>
      <c r="S336" s="6" cm="1">
        <f t="array" ref="S336">$Y$2+MMULT(C336:R336,$Y$3:$Y$18)</f>
        <v>-10.166854160558316</v>
      </c>
      <c r="T336" s="7">
        <f t="shared" si="11"/>
        <v>3.8421529830240503E-5</v>
      </c>
      <c r="U336" s="3">
        <f t="shared" si="10"/>
        <v>0</v>
      </c>
    </row>
    <row r="337" spans="1:21">
      <c r="A337" s="2">
        <v>336</v>
      </c>
      <c r="B337" s="2">
        <v>0</v>
      </c>
      <c r="C337" s="8">
        <f>(data!C337-AVERAGE(data!C:C))/_xlfn.STDEV.S(data!C:C)</f>
        <v>-1.2226550110127374</v>
      </c>
      <c r="D337" s="2">
        <v>1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8">
        <f>(data!J337-AVERAGE(data!J:J))/_xlfn.STDEV.S(data!J:J)</f>
        <v>-0.11799854227685262</v>
      </c>
      <c r="K337" s="2">
        <v>0</v>
      </c>
      <c r="L337" s="2">
        <v>1</v>
      </c>
      <c r="M337" s="2">
        <v>0</v>
      </c>
      <c r="N337" s="2">
        <v>1</v>
      </c>
      <c r="O337" s="2">
        <v>1</v>
      </c>
      <c r="P337" s="2">
        <v>1</v>
      </c>
      <c r="Q337" s="2">
        <v>0</v>
      </c>
      <c r="R337" s="2">
        <v>0</v>
      </c>
      <c r="S337" s="6" cm="1">
        <f t="array" ref="S337">$Y$2+MMULT(C337:R337,$Y$3:$Y$18)</f>
        <v>-14.325315013373071</v>
      </c>
      <c r="T337" s="7">
        <f t="shared" si="11"/>
        <v>6.0061265322049746E-7</v>
      </c>
      <c r="U337" s="3">
        <f t="shared" si="10"/>
        <v>0</v>
      </c>
    </row>
    <row r="338" spans="1:21">
      <c r="A338" s="2">
        <v>337</v>
      </c>
      <c r="B338" s="2">
        <v>0</v>
      </c>
      <c r="C338" s="8">
        <f>(data!C338-AVERAGE(data!C:C))/_xlfn.STDEV.S(data!C:C)</f>
        <v>-1.0966440811861533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1</v>
      </c>
      <c r="J338" s="8">
        <f>(data!J338-AVERAGE(data!J:J))/_xlfn.STDEV.S(data!J:J)</f>
        <v>-0.70821017488983018</v>
      </c>
      <c r="K338" s="2">
        <v>0</v>
      </c>
      <c r="L338" s="2">
        <v>0</v>
      </c>
      <c r="M338" s="2">
        <v>1</v>
      </c>
      <c r="N338" s="2">
        <v>1</v>
      </c>
      <c r="O338" s="2">
        <v>1</v>
      </c>
      <c r="P338" s="2">
        <v>1</v>
      </c>
      <c r="Q338" s="2">
        <v>0</v>
      </c>
      <c r="R338" s="2">
        <v>0</v>
      </c>
      <c r="S338" s="6" cm="1">
        <f t="array" ref="S338">$Y$2+MMULT(C338:R338,$Y$3:$Y$18)</f>
        <v>-10.925287561275962</v>
      </c>
      <c r="T338" s="7">
        <f t="shared" si="11"/>
        <v>1.7996998599630075E-5</v>
      </c>
      <c r="U338" s="3">
        <f t="shared" si="10"/>
        <v>0</v>
      </c>
    </row>
    <row r="339" spans="1:21">
      <c r="A339" s="2">
        <v>338</v>
      </c>
      <c r="B339" s="2">
        <v>0</v>
      </c>
      <c r="C339" s="8">
        <f>(data!C339-AVERAGE(data!C:C))/_xlfn.STDEV.S(data!C:C)</f>
        <v>-1.0966440811861533</v>
      </c>
      <c r="D339" s="2">
        <v>1</v>
      </c>
      <c r="E339" s="2">
        <v>0</v>
      </c>
      <c r="F339" s="2">
        <v>0</v>
      </c>
      <c r="G339" s="2">
        <v>0</v>
      </c>
      <c r="H339" s="2">
        <v>0</v>
      </c>
      <c r="I339" s="2">
        <v>1</v>
      </c>
      <c r="J339" s="8">
        <f>(data!J339-AVERAGE(data!J:J))/_xlfn.STDEV.S(data!J:J)</f>
        <v>0.76731890664261382</v>
      </c>
      <c r="K339" s="2">
        <v>0</v>
      </c>
      <c r="L339" s="2">
        <v>1</v>
      </c>
      <c r="M339" s="2">
        <v>0</v>
      </c>
      <c r="N339" s="2">
        <v>1</v>
      </c>
      <c r="O339" s="2">
        <v>1</v>
      </c>
      <c r="P339" s="2">
        <v>1</v>
      </c>
      <c r="Q339" s="2">
        <v>0</v>
      </c>
      <c r="R339" s="2">
        <v>0</v>
      </c>
      <c r="S339" s="6" cm="1">
        <f t="array" ref="S339">$Y$2+MMULT(C339:R339,$Y$3:$Y$18)</f>
        <v>-12.204003562874547</v>
      </c>
      <c r="T339" s="7">
        <f t="shared" si="11"/>
        <v>5.0103310198784673E-6</v>
      </c>
      <c r="U339" s="3">
        <f t="shared" si="10"/>
        <v>0</v>
      </c>
    </row>
    <row r="340" spans="1:21">
      <c r="A340" s="2">
        <v>339</v>
      </c>
      <c r="B340" s="2">
        <v>0</v>
      </c>
      <c r="C340" s="8">
        <f>(data!C340-AVERAGE(data!C:C))/_xlfn.STDEV.S(data!C:C)</f>
        <v>0.83552350948813747</v>
      </c>
      <c r="D340" s="2">
        <v>0</v>
      </c>
      <c r="E340" s="2">
        <v>1</v>
      </c>
      <c r="F340" s="2">
        <v>1</v>
      </c>
      <c r="G340" s="2">
        <v>1</v>
      </c>
      <c r="H340" s="2">
        <v>0</v>
      </c>
      <c r="I340" s="2">
        <v>0</v>
      </c>
      <c r="J340" s="8">
        <f>(data!J340-AVERAGE(data!J:J))/_xlfn.STDEV.S(data!J:J)</f>
        <v>1.4313069933322136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>
        <v>0</v>
      </c>
      <c r="R340" s="2">
        <v>0</v>
      </c>
      <c r="S340" s="6" cm="1">
        <f t="array" ref="S340">$Y$2+MMULT(C340:R340,$Y$3:$Y$18)</f>
        <v>-1.0452048363718025</v>
      </c>
      <c r="T340" s="7">
        <f t="shared" si="11"/>
        <v>0.26014696642991741</v>
      </c>
      <c r="U340" s="3">
        <f t="shared" si="10"/>
        <v>0</v>
      </c>
    </row>
    <row r="341" spans="1:21">
      <c r="A341" s="2">
        <v>340</v>
      </c>
      <c r="B341" s="2">
        <v>0</v>
      </c>
      <c r="C341" s="8">
        <f>(data!C341-AVERAGE(data!C:C))/_xlfn.STDEV.S(data!C:C)</f>
        <v>-0.29857485895112013</v>
      </c>
      <c r="D341" s="2">
        <v>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8">
        <f>(data!J341-AVERAGE(data!J:J))/_xlfn.STDEV.S(data!J:J)</f>
        <v>1.3575305392555914</v>
      </c>
      <c r="K341" s="2">
        <v>0</v>
      </c>
      <c r="L341" s="2">
        <v>1</v>
      </c>
      <c r="M341" s="2">
        <v>0</v>
      </c>
      <c r="N341" s="2">
        <v>0</v>
      </c>
      <c r="O341" s="2">
        <v>1</v>
      </c>
      <c r="P341" s="2">
        <v>1</v>
      </c>
      <c r="Q341" s="2">
        <v>0</v>
      </c>
      <c r="R341" s="2">
        <v>0</v>
      </c>
      <c r="S341" s="6" cm="1">
        <f t="array" ref="S341">$Y$2+MMULT(C341:R341,$Y$3:$Y$18)</f>
        <v>-7.4804048829371368</v>
      </c>
      <c r="T341" s="7">
        <f t="shared" si="11"/>
        <v>5.6371105423188217E-4</v>
      </c>
      <c r="U341" s="3">
        <f t="shared" si="10"/>
        <v>0</v>
      </c>
    </row>
    <row r="342" spans="1:21">
      <c r="A342" s="2">
        <v>341</v>
      </c>
      <c r="B342" s="2">
        <v>0</v>
      </c>
      <c r="C342" s="8">
        <f>(data!C342-AVERAGE(data!C:C))/_xlfn.STDEV.S(data!C:C)</f>
        <v>-0.42458578877770431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8">
        <f>(data!J342-AVERAGE(data!J:J))/_xlfn.STDEV.S(data!J:J)</f>
        <v>0.91487181479585822</v>
      </c>
      <c r="K342" s="2">
        <v>0</v>
      </c>
      <c r="L342" s="2">
        <v>0</v>
      </c>
      <c r="M342" s="2">
        <v>0</v>
      </c>
      <c r="N342" s="2">
        <v>1</v>
      </c>
      <c r="O342" s="2">
        <v>0</v>
      </c>
      <c r="P342" s="2">
        <v>1</v>
      </c>
      <c r="Q342" s="2">
        <v>0</v>
      </c>
      <c r="R342" s="2">
        <v>1</v>
      </c>
      <c r="S342" s="6" cm="1">
        <f t="array" ref="S342">$Y$2+MMULT(C342:R342,$Y$3:$Y$18)</f>
        <v>-9.7817951650341417</v>
      </c>
      <c r="T342" s="7">
        <f t="shared" si="11"/>
        <v>5.6467142718994995E-5</v>
      </c>
      <c r="U342" s="3">
        <f t="shared" si="10"/>
        <v>0</v>
      </c>
    </row>
    <row r="343" spans="1:21">
      <c r="A343" s="2">
        <v>342</v>
      </c>
      <c r="B343" s="2">
        <v>0</v>
      </c>
      <c r="C343" s="8">
        <f>(data!C343-AVERAGE(data!C:C))/_xlfn.STDEV.S(data!C:C)</f>
        <v>0.1634652170796885</v>
      </c>
      <c r="D343" s="2">
        <v>0</v>
      </c>
      <c r="E343" s="2">
        <v>0</v>
      </c>
      <c r="F343" s="2">
        <v>1</v>
      </c>
      <c r="G343" s="2">
        <v>1</v>
      </c>
      <c r="H343" s="2">
        <v>0</v>
      </c>
      <c r="I343" s="2">
        <v>0</v>
      </c>
      <c r="J343" s="8">
        <f>(data!J343-AVERAGE(data!J:J))/_xlfn.STDEV.S(data!J:J)</f>
        <v>1.3575305392555914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1</v>
      </c>
      <c r="Q343" s="2">
        <v>0</v>
      </c>
      <c r="R343" s="2">
        <v>0</v>
      </c>
      <c r="S343" s="6" cm="1">
        <f t="array" ref="S343">$Y$2+MMULT(C343:R343,$Y$3:$Y$18)</f>
        <v>-7.1115463511073465</v>
      </c>
      <c r="T343" s="7">
        <f t="shared" si="11"/>
        <v>8.1496804716743652E-4</v>
      </c>
      <c r="U343" s="3">
        <f t="shared" si="10"/>
        <v>0</v>
      </c>
    </row>
    <row r="344" spans="1:21">
      <c r="A344" s="2">
        <v>343</v>
      </c>
      <c r="B344" s="2">
        <v>0</v>
      </c>
      <c r="C344" s="8">
        <f>(data!C344-AVERAGE(data!C:C))/_xlfn.STDEV.S(data!C:C)</f>
        <v>0.54149800655944103</v>
      </c>
      <c r="D344" s="2">
        <v>0</v>
      </c>
      <c r="E344" s="2">
        <v>1</v>
      </c>
      <c r="F344" s="2">
        <v>1</v>
      </c>
      <c r="G344" s="2">
        <v>1</v>
      </c>
      <c r="H344" s="2">
        <v>0</v>
      </c>
      <c r="I344" s="2">
        <v>0</v>
      </c>
      <c r="J344" s="8">
        <f>(data!J344-AVERAGE(data!J:J))/_xlfn.STDEV.S(data!J:J)</f>
        <v>-0.78198662896645244</v>
      </c>
      <c r="K344" s="2">
        <v>1</v>
      </c>
      <c r="L344" s="2">
        <v>0</v>
      </c>
      <c r="M344" s="2">
        <v>0</v>
      </c>
      <c r="N344" s="2">
        <v>0</v>
      </c>
      <c r="O344" s="2">
        <v>1</v>
      </c>
      <c r="P344" s="2">
        <v>1</v>
      </c>
      <c r="Q344" s="2">
        <v>0</v>
      </c>
      <c r="R344" s="2">
        <v>0</v>
      </c>
      <c r="S344" s="6" cm="1">
        <f t="array" ref="S344">$Y$2+MMULT(C344:R344,$Y$3:$Y$18)</f>
        <v>-4.3087377029651854</v>
      </c>
      <c r="T344" s="7">
        <f t="shared" si="11"/>
        <v>1.3272002134975902E-2</v>
      </c>
      <c r="U344" s="3">
        <f t="shared" si="10"/>
        <v>0</v>
      </c>
    </row>
    <row r="345" spans="1:21">
      <c r="A345" s="2">
        <v>344</v>
      </c>
      <c r="B345" s="2">
        <v>0</v>
      </c>
      <c r="C345" s="8">
        <f>(data!C345-AVERAGE(data!C:C))/_xlfn.STDEV.S(data!C:C)</f>
        <v>-0.29857485895112013</v>
      </c>
      <c r="D345" s="2">
        <v>0</v>
      </c>
      <c r="E345" s="2">
        <v>0</v>
      </c>
      <c r="F345" s="2">
        <v>0</v>
      </c>
      <c r="G345" s="2">
        <v>1</v>
      </c>
      <c r="H345" s="2">
        <v>0</v>
      </c>
      <c r="I345" s="2">
        <v>0</v>
      </c>
      <c r="J345" s="8">
        <f>(data!J345-AVERAGE(data!J:J))/_xlfn.STDEV.S(data!J:J)</f>
        <v>-0.48688081265996364</v>
      </c>
      <c r="K345" s="2">
        <v>0</v>
      </c>
      <c r="L345" s="2">
        <v>0</v>
      </c>
      <c r="M345" s="2">
        <v>0</v>
      </c>
      <c r="N345" s="2">
        <v>1</v>
      </c>
      <c r="O345" s="2">
        <v>1</v>
      </c>
      <c r="P345" s="2">
        <v>1</v>
      </c>
      <c r="Q345" s="2">
        <v>0</v>
      </c>
      <c r="R345" s="2">
        <v>0</v>
      </c>
      <c r="S345" s="6" cm="1">
        <f t="array" ref="S345">$Y$2+MMULT(C345:R345,$Y$3:$Y$18)</f>
        <v>-9.1170914268924328</v>
      </c>
      <c r="T345" s="7">
        <f t="shared" si="11"/>
        <v>1.0976144879998883E-4</v>
      </c>
      <c r="U345" s="3">
        <f t="shared" si="10"/>
        <v>0</v>
      </c>
    </row>
    <row r="346" spans="1:21">
      <c r="A346" s="2">
        <v>345</v>
      </c>
      <c r="B346" s="2">
        <v>0</v>
      </c>
      <c r="C346" s="8">
        <f>(data!C346-AVERAGE(data!C:C))/_xlfn.STDEV.S(data!C:C)</f>
        <v>-1.2226550110127374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8">
        <f>(data!J346-AVERAGE(data!J:J))/_xlfn.STDEV.S(data!J:J)</f>
        <v>-0.19177499635347484</v>
      </c>
      <c r="K346" s="2">
        <v>0</v>
      </c>
      <c r="L346" s="2">
        <v>1</v>
      </c>
      <c r="M346" s="2">
        <v>0</v>
      </c>
      <c r="N346" s="2">
        <v>1</v>
      </c>
      <c r="O346" s="2">
        <v>0</v>
      </c>
      <c r="P346" s="2">
        <v>1</v>
      </c>
      <c r="Q346" s="2">
        <v>1</v>
      </c>
      <c r="R346" s="2">
        <v>0</v>
      </c>
      <c r="S346" s="6" cm="1">
        <f t="array" ref="S346">$Y$2+MMULT(C346:R346,$Y$3:$Y$18)</f>
        <v>-15.262650354364261</v>
      </c>
      <c r="T346" s="7">
        <f t="shared" si="11"/>
        <v>2.3524211193497971E-7</v>
      </c>
      <c r="U346" s="3">
        <f t="shared" si="10"/>
        <v>0</v>
      </c>
    </row>
    <row r="347" spans="1:21">
      <c r="A347" s="2">
        <v>346</v>
      </c>
      <c r="B347" s="2">
        <v>0</v>
      </c>
      <c r="C347" s="8">
        <f>(data!C347-AVERAGE(data!C:C))/_xlfn.STDEV.S(data!C:C)</f>
        <v>0.66750893638602515</v>
      </c>
      <c r="D347" s="2">
        <v>1</v>
      </c>
      <c r="E347" s="2">
        <v>1</v>
      </c>
      <c r="F347" s="2">
        <v>0</v>
      </c>
      <c r="G347" s="2">
        <v>0</v>
      </c>
      <c r="H347" s="2">
        <v>0</v>
      </c>
      <c r="I347" s="2">
        <v>0</v>
      </c>
      <c r="J347" s="8">
        <f>(data!J347-AVERAGE(data!J:J))/_xlfn.STDEV.S(data!J:J)</f>
        <v>-0.78198662896645244</v>
      </c>
      <c r="K347" s="2">
        <v>0</v>
      </c>
      <c r="L347" s="2">
        <v>1</v>
      </c>
      <c r="M347" s="2">
        <v>0</v>
      </c>
      <c r="N347" s="2">
        <v>0</v>
      </c>
      <c r="O347" s="2">
        <v>1</v>
      </c>
      <c r="P347" s="2">
        <v>1</v>
      </c>
      <c r="Q347" s="2">
        <v>0</v>
      </c>
      <c r="R347" s="2">
        <v>0</v>
      </c>
      <c r="S347" s="6" cm="1">
        <f t="array" ref="S347">$Y$2+MMULT(C347:R347,$Y$3:$Y$18)</f>
        <v>-3.1156326785586237</v>
      </c>
      <c r="T347" s="7">
        <f t="shared" si="11"/>
        <v>4.2467008251511278E-2</v>
      </c>
      <c r="U347" s="3">
        <f t="shared" si="10"/>
        <v>0</v>
      </c>
    </row>
    <row r="348" spans="1:21">
      <c r="A348" s="2">
        <v>347</v>
      </c>
      <c r="B348" s="2">
        <v>0</v>
      </c>
      <c r="C348" s="8">
        <f>(data!C348-AVERAGE(data!C:C))/_xlfn.STDEV.S(data!C:C)</f>
        <v>-1.1386477244616813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8">
        <f>(data!J348-AVERAGE(data!J:J))/_xlfn.STDEV.S(data!J:J)</f>
        <v>-0.78198662896645244</v>
      </c>
      <c r="K348" s="2">
        <v>0</v>
      </c>
      <c r="L348" s="2">
        <v>1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6" cm="1">
        <f t="array" ref="S348">$Y$2+MMULT(C348:R348,$Y$3:$Y$18)</f>
        <v>-12.681129629492894</v>
      </c>
      <c r="T348" s="7">
        <f t="shared" si="11"/>
        <v>3.1092384326053659E-6</v>
      </c>
      <c r="U348" s="3">
        <f t="shared" si="10"/>
        <v>0</v>
      </c>
    </row>
    <row r="349" spans="1:21">
      <c r="A349" s="2">
        <v>348</v>
      </c>
      <c r="B349" s="2">
        <v>0</v>
      </c>
      <c r="C349" s="8">
        <f>(data!C349-AVERAGE(data!C:C))/_xlfn.STDEV.S(data!C:C)</f>
        <v>-0.67660764843087262</v>
      </c>
      <c r="D349" s="2">
        <v>1</v>
      </c>
      <c r="E349" s="2">
        <v>0</v>
      </c>
      <c r="F349" s="2">
        <v>0</v>
      </c>
      <c r="G349" s="2">
        <v>0</v>
      </c>
      <c r="H349" s="2">
        <v>0</v>
      </c>
      <c r="I349" s="2">
        <v>1</v>
      </c>
      <c r="J349" s="8">
        <f>(data!J349-AVERAGE(data!J:J))/_xlfn.STDEV.S(data!J:J)</f>
        <v>-0.78198662896645244</v>
      </c>
      <c r="K349" s="2">
        <v>0</v>
      </c>
      <c r="L349" s="2">
        <v>0</v>
      </c>
      <c r="M349" s="2">
        <v>0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6" cm="1">
        <f t="array" ref="S349">$Y$2+MMULT(C349:R349,$Y$3:$Y$18)</f>
        <v>-8.066635604059277</v>
      </c>
      <c r="T349" s="7">
        <f t="shared" si="11"/>
        <v>3.137389170760138E-4</v>
      </c>
      <c r="U349" s="3">
        <f t="shared" si="10"/>
        <v>0</v>
      </c>
    </row>
    <row r="350" spans="1:21">
      <c r="A350" s="2">
        <v>349</v>
      </c>
      <c r="B350" s="2">
        <v>0</v>
      </c>
      <c r="C350" s="8">
        <f>(data!C350-AVERAGE(data!C:C))/_xlfn.STDEV.S(data!C:C)</f>
        <v>0.54149800655944103</v>
      </c>
      <c r="D350" s="2">
        <v>0</v>
      </c>
      <c r="E350" s="2">
        <v>1</v>
      </c>
      <c r="F350" s="2">
        <v>0</v>
      </c>
      <c r="G350" s="2">
        <v>0</v>
      </c>
      <c r="H350" s="2">
        <v>0</v>
      </c>
      <c r="I350" s="2">
        <v>0</v>
      </c>
      <c r="J350" s="8">
        <f>(data!J350-AVERAGE(data!J:J))/_xlfn.STDEV.S(data!J:J)</f>
        <v>-0.85576308304307458</v>
      </c>
      <c r="K350" s="2">
        <v>1</v>
      </c>
      <c r="L350" s="2">
        <v>1</v>
      </c>
      <c r="M350" s="2">
        <v>1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  <c r="S350" s="6" cm="1">
        <f t="array" ref="S350">$Y$2+MMULT(C350:R350,$Y$3:$Y$18)</f>
        <v>-1.0978506990177523</v>
      </c>
      <c r="T350" s="7">
        <f t="shared" si="11"/>
        <v>0.25014282524609588</v>
      </c>
      <c r="U350" s="3">
        <f t="shared" si="10"/>
        <v>0</v>
      </c>
    </row>
    <row r="351" spans="1:21">
      <c r="A351" s="2">
        <v>350</v>
      </c>
      <c r="B351" s="2">
        <v>0</v>
      </c>
      <c r="C351" s="8">
        <f>(data!C351-AVERAGE(data!C:C))/_xlfn.STDEV.S(data!C:C)</f>
        <v>0.1634652170796885</v>
      </c>
      <c r="D351" s="2">
        <v>0</v>
      </c>
      <c r="E351" s="2">
        <v>0</v>
      </c>
      <c r="F351" s="2">
        <v>1</v>
      </c>
      <c r="G351" s="2">
        <v>1</v>
      </c>
      <c r="H351" s="2">
        <v>0</v>
      </c>
      <c r="I351" s="2">
        <v>0</v>
      </c>
      <c r="J351" s="8">
        <f>(data!J351-AVERAGE(data!J:J))/_xlfn.STDEV.S(data!J:J)</f>
        <v>-0.19177499635347484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1</v>
      </c>
      <c r="Q351" s="2">
        <v>1</v>
      </c>
      <c r="R351" s="2">
        <v>0</v>
      </c>
      <c r="S351" s="6" cm="1">
        <f t="array" ref="S351">$Y$2+MMULT(C351:R351,$Y$3:$Y$18)</f>
        <v>-7.0426962381829963</v>
      </c>
      <c r="T351" s="7">
        <f t="shared" si="11"/>
        <v>8.7300469496836989E-4</v>
      </c>
      <c r="U351" s="3">
        <f t="shared" si="10"/>
        <v>0</v>
      </c>
    </row>
    <row r="352" spans="1:21">
      <c r="A352" s="2">
        <v>351</v>
      </c>
      <c r="B352" s="2">
        <v>0</v>
      </c>
      <c r="C352" s="8">
        <f>(data!C352-AVERAGE(data!C:C))/_xlfn.STDEV.S(data!C:C)</f>
        <v>-0.21456757240006402</v>
      </c>
      <c r="D352" s="2">
        <v>0</v>
      </c>
      <c r="E352" s="2">
        <v>1</v>
      </c>
      <c r="F352" s="2">
        <v>1</v>
      </c>
      <c r="G352" s="2">
        <v>0</v>
      </c>
      <c r="H352" s="2">
        <v>0</v>
      </c>
      <c r="I352" s="2">
        <v>0</v>
      </c>
      <c r="J352" s="8">
        <f>(data!J352-AVERAGE(data!J:J))/_xlfn.STDEV.S(data!J:J)</f>
        <v>-0.26555145043009704</v>
      </c>
      <c r="K352" s="2">
        <v>1</v>
      </c>
      <c r="L352" s="2">
        <v>0</v>
      </c>
      <c r="M352" s="2">
        <v>0</v>
      </c>
      <c r="N352" s="2">
        <v>0</v>
      </c>
      <c r="O352" s="2">
        <v>1</v>
      </c>
      <c r="P352" s="2">
        <v>1</v>
      </c>
      <c r="Q352" s="2">
        <v>0</v>
      </c>
      <c r="R352" s="2">
        <v>1</v>
      </c>
      <c r="S352" s="6" cm="1">
        <f t="array" ref="S352">$Y$2+MMULT(C352:R352,$Y$3:$Y$18)</f>
        <v>-7.5514671296709519</v>
      </c>
      <c r="T352" s="7">
        <f t="shared" si="11"/>
        <v>5.2506298530977319E-4</v>
      </c>
      <c r="U352" s="3">
        <f t="shared" si="10"/>
        <v>0</v>
      </c>
    </row>
    <row r="353" spans="1:21">
      <c r="A353" s="2">
        <v>352</v>
      </c>
      <c r="B353" s="2">
        <v>1</v>
      </c>
      <c r="C353" s="8">
        <f>(data!C353-AVERAGE(data!C:C))/_xlfn.STDEV.S(data!C:C)</f>
        <v>1.297563585518946</v>
      </c>
      <c r="D353" s="2">
        <v>0</v>
      </c>
      <c r="E353" s="2">
        <v>0</v>
      </c>
      <c r="F353" s="2">
        <v>1</v>
      </c>
      <c r="G353" s="2">
        <v>1</v>
      </c>
      <c r="H353" s="2">
        <v>0</v>
      </c>
      <c r="I353" s="2">
        <v>0</v>
      </c>
      <c r="J353" s="8">
        <f>(data!J353-AVERAGE(data!J:J))/_xlfn.STDEV.S(data!J:J)</f>
        <v>-0.70821017488983018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1</v>
      </c>
      <c r="Q353" s="2">
        <v>0</v>
      </c>
      <c r="R353" s="2">
        <v>0</v>
      </c>
      <c r="S353" s="6" cm="1">
        <f t="array" ref="S353">$Y$2+MMULT(C353:R353,$Y$3:$Y$18)</f>
        <v>0.12462152124208536</v>
      </c>
      <c r="T353" s="7">
        <f t="shared" si="11"/>
        <v>0.53111512121985527</v>
      </c>
      <c r="U353" s="3">
        <f t="shared" si="10"/>
        <v>1</v>
      </c>
    </row>
    <row r="354" spans="1:21">
      <c r="A354" s="2">
        <v>353</v>
      </c>
      <c r="B354" s="2">
        <v>1</v>
      </c>
      <c r="C354" s="8">
        <f>(data!C354-AVERAGE(data!C:C))/_xlfn.STDEV.S(data!C:C)</f>
        <v>0.5835016498349691</v>
      </c>
      <c r="D354" s="2">
        <v>1</v>
      </c>
      <c r="E354" s="2">
        <v>1</v>
      </c>
      <c r="F354" s="2">
        <v>1</v>
      </c>
      <c r="G354" s="2">
        <v>0</v>
      </c>
      <c r="H354" s="2">
        <v>0</v>
      </c>
      <c r="I354" s="2">
        <v>0</v>
      </c>
      <c r="J354" s="8">
        <f>(data!J354-AVERAGE(data!J:J))/_xlfn.STDEV.S(data!J:J)</f>
        <v>1.8001892637153245</v>
      </c>
      <c r="K354" s="2">
        <v>0</v>
      </c>
      <c r="L354" s="2">
        <v>1</v>
      </c>
      <c r="M354" s="2">
        <v>1</v>
      </c>
      <c r="N354" s="2">
        <v>1</v>
      </c>
      <c r="O354" s="2">
        <v>1</v>
      </c>
      <c r="P354" s="2">
        <v>1</v>
      </c>
      <c r="Q354" s="2">
        <v>0</v>
      </c>
      <c r="R354" s="2">
        <v>0</v>
      </c>
      <c r="S354" s="6" cm="1">
        <f t="array" ref="S354">$Y$2+MMULT(C354:R354,$Y$3:$Y$18)</f>
        <v>-1.6520641606848296</v>
      </c>
      <c r="T354" s="7">
        <f t="shared" si="11"/>
        <v>0.16083016747909989</v>
      </c>
      <c r="U354" s="3">
        <f t="shared" si="10"/>
        <v>0</v>
      </c>
    </row>
    <row r="355" spans="1:21">
      <c r="A355" s="2">
        <v>354</v>
      </c>
      <c r="B355" s="2">
        <v>0</v>
      </c>
      <c r="C355" s="8">
        <f>(data!C355-AVERAGE(data!C:C))/_xlfn.STDEV.S(data!C:C)</f>
        <v>-0.55059671860428849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8">
        <f>(data!J355-AVERAGE(data!J:J))/_xlfn.STDEV.S(data!J:J)</f>
        <v>-0.19177499635347484</v>
      </c>
      <c r="K355" s="2">
        <v>0</v>
      </c>
      <c r="L355" s="2">
        <v>0</v>
      </c>
      <c r="M355" s="2">
        <v>0</v>
      </c>
      <c r="N355" s="2">
        <v>1</v>
      </c>
      <c r="O355" s="2">
        <v>1</v>
      </c>
      <c r="P355" s="2">
        <v>1</v>
      </c>
      <c r="Q355" s="2">
        <v>0</v>
      </c>
      <c r="R355" s="2">
        <v>0</v>
      </c>
      <c r="S355" s="6" cm="1">
        <f t="array" ref="S355">$Y$2+MMULT(C355:R355,$Y$3:$Y$18)</f>
        <v>-9.7063331445743799</v>
      </c>
      <c r="T355" s="7">
        <f t="shared" si="11"/>
        <v>6.0892896059334668E-5</v>
      </c>
      <c r="U355" s="3">
        <f t="shared" si="10"/>
        <v>0</v>
      </c>
    </row>
    <row r="356" spans="1:21">
      <c r="A356" s="2">
        <v>355</v>
      </c>
      <c r="B356" s="2">
        <v>0</v>
      </c>
      <c r="C356" s="8">
        <f>(data!C356-AVERAGE(data!C:C))/_xlfn.STDEV.S(data!C:C)</f>
        <v>0.5835016498349691</v>
      </c>
      <c r="D356" s="2">
        <v>1</v>
      </c>
      <c r="E356" s="2">
        <v>1</v>
      </c>
      <c r="F356" s="2">
        <v>0</v>
      </c>
      <c r="G356" s="2">
        <v>0</v>
      </c>
      <c r="H356" s="2">
        <v>0</v>
      </c>
      <c r="I356" s="2">
        <v>0</v>
      </c>
      <c r="J356" s="8">
        <f>(data!J356-AVERAGE(data!J:J))/_xlfn.STDEV.S(data!J:J)</f>
        <v>1.8739657177919469</v>
      </c>
      <c r="K356" s="2">
        <v>0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0</v>
      </c>
      <c r="R356" s="2">
        <v>0</v>
      </c>
      <c r="S356" s="6" cm="1">
        <f t="array" ref="S356">$Y$2+MMULT(C356:R356,$Y$3:$Y$18)</f>
        <v>-1.0061777386925272</v>
      </c>
      <c r="T356" s="7">
        <f t="shared" si="11"/>
        <v>0.26772853937145119</v>
      </c>
      <c r="U356" s="3">
        <f t="shared" si="10"/>
        <v>0</v>
      </c>
    </row>
    <row r="357" spans="1:21">
      <c r="A357" s="2">
        <v>356</v>
      </c>
      <c r="B357" s="2">
        <v>0</v>
      </c>
      <c r="C357" s="8">
        <f>(data!C357-AVERAGE(data!C:C))/_xlfn.STDEV.S(data!C:C)</f>
        <v>-1.3906695841148498</v>
      </c>
      <c r="D357" s="2">
        <v>0</v>
      </c>
      <c r="E357" s="2">
        <v>0</v>
      </c>
      <c r="F357" s="2">
        <v>1</v>
      </c>
      <c r="G357" s="2">
        <v>0</v>
      </c>
      <c r="H357" s="2">
        <v>0</v>
      </c>
      <c r="I357" s="2">
        <v>0</v>
      </c>
      <c r="J357" s="8">
        <f>(data!J357-AVERAGE(data!J:J))/_xlfn.STDEV.S(data!J:J)</f>
        <v>-1.0770924452729411</v>
      </c>
      <c r="K357" s="2">
        <v>0</v>
      </c>
      <c r="L357" s="2">
        <v>0</v>
      </c>
      <c r="M357" s="2">
        <v>0</v>
      </c>
      <c r="N357" s="2">
        <v>0</v>
      </c>
      <c r="O357" s="2">
        <v>1</v>
      </c>
      <c r="P357" s="2">
        <v>1</v>
      </c>
      <c r="Q357" s="2">
        <v>0</v>
      </c>
      <c r="R357" s="2">
        <v>0</v>
      </c>
      <c r="S357" s="6" cm="1">
        <f t="array" ref="S357">$Y$2+MMULT(C357:R357,$Y$3:$Y$18)</f>
        <v>-15.378396707608809</v>
      </c>
      <c r="T357" s="7">
        <f t="shared" si="11"/>
        <v>2.0953041751118169E-7</v>
      </c>
      <c r="U357" s="3">
        <f t="shared" si="10"/>
        <v>0</v>
      </c>
    </row>
    <row r="358" spans="1:21">
      <c r="A358" s="2">
        <v>357</v>
      </c>
      <c r="B358" s="2">
        <v>1</v>
      </c>
      <c r="C358" s="8">
        <f>(data!C358-AVERAGE(data!C:C))/_xlfn.STDEV.S(data!C:C)</f>
        <v>1.6755963749986986</v>
      </c>
      <c r="D358" s="2">
        <v>0</v>
      </c>
      <c r="E358" s="2">
        <v>1</v>
      </c>
      <c r="F358" s="2">
        <v>0</v>
      </c>
      <c r="G358" s="2">
        <v>1</v>
      </c>
      <c r="H358" s="2">
        <v>0</v>
      </c>
      <c r="I358" s="2">
        <v>0</v>
      </c>
      <c r="J358" s="8">
        <f>(data!J358-AVERAGE(data!J:J))/_xlfn.STDEV.S(data!J:J)</f>
        <v>1.3575305392555914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>
        <v>0</v>
      </c>
      <c r="R358" s="2">
        <v>0</v>
      </c>
      <c r="S358" s="6" cm="1">
        <f t="array" ref="S358">$Y$2+MMULT(C358:R358,$Y$3:$Y$18)</f>
        <v>4.5200173824553112</v>
      </c>
      <c r="T358" s="7">
        <f t="shared" si="11"/>
        <v>0.98922845517551017</v>
      </c>
      <c r="U358" s="3">
        <f t="shared" si="10"/>
        <v>1</v>
      </c>
    </row>
    <row r="359" spans="1:21">
      <c r="A359" s="2">
        <v>358</v>
      </c>
      <c r="B359" s="2">
        <v>0</v>
      </c>
      <c r="C359" s="8">
        <f>(data!C359-AVERAGE(data!C:C))/_xlfn.STDEV.S(data!C:C)</f>
        <v>-1.0546404379106251</v>
      </c>
      <c r="D359" s="2">
        <v>1</v>
      </c>
      <c r="E359" s="2">
        <v>1</v>
      </c>
      <c r="F359" s="2">
        <v>0</v>
      </c>
      <c r="G359" s="2">
        <v>0</v>
      </c>
      <c r="H359" s="2">
        <v>0</v>
      </c>
      <c r="I359" s="2">
        <v>0</v>
      </c>
      <c r="J359" s="8">
        <f>(data!J359-AVERAGE(data!J:J))/_xlfn.STDEV.S(data!J:J)</f>
        <v>-1.0770924452729411</v>
      </c>
      <c r="K359" s="2">
        <v>0</v>
      </c>
      <c r="L359" s="2">
        <v>1</v>
      </c>
      <c r="M359" s="2">
        <v>0</v>
      </c>
      <c r="N359" s="2">
        <v>0</v>
      </c>
      <c r="O359" s="2">
        <v>1</v>
      </c>
      <c r="P359" s="2">
        <v>1</v>
      </c>
      <c r="Q359" s="2">
        <v>0</v>
      </c>
      <c r="R359" s="2">
        <v>0</v>
      </c>
      <c r="S359" s="6" cm="1">
        <f t="array" ref="S359">$Y$2+MMULT(C359:R359,$Y$3:$Y$18)</f>
        <v>-13.554756999422603</v>
      </c>
      <c r="T359" s="7">
        <f t="shared" si="11"/>
        <v>1.2979060831718376E-6</v>
      </c>
      <c r="U359" s="3">
        <f t="shared" si="10"/>
        <v>0</v>
      </c>
    </row>
    <row r="360" spans="1:21">
      <c r="A360" s="2">
        <v>359</v>
      </c>
      <c r="B360" s="2">
        <v>0</v>
      </c>
      <c r="C360" s="8">
        <f>(data!C360-AVERAGE(data!C:C))/_xlfn.STDEV.S(data!C:C)</f>
        <v>-0.46658943205323239</v>
      </c>
      <c r="D360" s="2">
        <v>0</v>
      </c>
      <c r="E360" s="2">
        <v>0</v>
      </c>
      <c r="F360" s="2">
        <v>1</v>
      </c>
      <c r="G360" s="2">
        <v>0</v>
      </c>
      <c r="H360" s="2">
        <v>0</v>
      </c>
      <c r="I360" s="2">
        <v>0</v>
      </c>
      <c r="J360" s="8">
        <f>(data!J360-AVERAGE(data!J:J))/_xlfn.STDEV.S(data!J:J)</f>
        <v>-1.003315991196319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1</v>
      </c>
      <c r="Q360" s="2">
        <v>0</v>
      </c>
      <c r="R360" s="2">
        <v>1</v>
      </c>
      <c r="S360" s="6" cm="1">
        <f t="array" ref="S360">$Y$2+MMULT(C360:R360,$Y$3:$Y$18)</f>
        <v>-11.310030442305953</v>
      </c>
      <c r="T360" s="7">
        <f t="shared" si="11"/>
        <v>1.2249288654627225E-5</v>
      </c>
      <c r="U360" s="3">
        <f t="shared" si="10"/>
        <v>0</v>
      </c>
    </row>
    <row r="361" spans="1:21">
      <c r="A361" s="2">
        <v>360</v>
      </c>
      <c r="B361" s="2">
        <v>0</v>
      </c>
      <c r="C361" s="8">
        <f>(data!C361-AVERAGE(data!C:C))/_xlfn.STDEV.S(data!C:C)</f>
        <v>-0.50859307532876041</v>
      </c>
      <c r="D361" s="2">
        <v>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8">
        <f>(data!J361-AVERAGE(data!J:J))/_xlfn.STDEV.S(data!J:J)</f>
        <v>0.39843663625950276</v>
      </c>
      <c r="K361" s="2">
        <v>0</v>
      </c>
      <c r="L361" s="2">
        <v>1</v>
      </c>
      <c r="M361" s="2">
        <v>1</v>
      </c>
      <c r="N361" s="2">
        <v>1</v>
      </c>
      <c r="O361" s="2">
        <v>0</v>
      </c>
      <c r="P361" s="2">
        <v>1</v>
      </c>
      <c r="Q361" s="2">
        <v>0</v>
      </c>
      <c r="R361" s="2">
        <v>0</v>
      </c>
      <c r="S361" s="6" cm="1">
        <f t="array" ref="S361">$Y$2+MMULT(C361:R361,$Y$3:$Y$18)</f>
        <v>-9.9686865785403391</v>
      </c>
      <c r="T361" s="7">
        <f t="shared" si="11"/>
        <v>4.6841854794981753E-5</v>
      </c>
      <c r="U361" s="3">
        <f t="shared" si="10"/>
        <v>0</v>
      </c>
    </row>
    <row r="362" spans="1:21">
      <c r="A362" s="2">
        <v>361</v>
      </c>
      <c r="B362" s="2">
        <v>1</v>
      </c>
      <c r="C362" s="8">
        <f>(data!C362-AVERAGE(data!C:C))/_xlfn.STDEV.S(data!C:C)</f>
        <v>0.54149800655944103</v>
      </c>
      <c r="D362" s="2">
        <v>1</v>
      </c>
      <c r="E362" s="2">
        <v>1</v>
      </c>
      <c r="F362" s="2">
        <v>0</v>
      </c>
      <c r="G362" s="2">
        <v>0</v>
      </c>
      <c r="H362" s="2">
        <v>0</v>
      </c>
      <c r="I362" s="2">
        <v>0</v>
      </c>
      <c r="J362" s="8">
        <f>(data!J362-AVERAGE(data!J:J))/_xlfn.STDEV.S(data!J:J)</f>
        <v>0.25088372810625836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>
        <v>0</v>
      </c>
      <c r="R362" s="2">
        <v>0</v>
      </c>
      <c r="S362" s="6" cm="1">
        <f t="array" ref="S362">$Y$2+MMULT(C362:R362,$Y$3:$Y$18)</f>
        <v>-1.9787675882038021</v>
      </c>
      <c r="T362" s="7">
        <f t="shared" si="11"/>
        <v>0.12145027502479373</v>
      </c>
      <c r="U362" s="3">
        <f t="shared" si="10"/>
        <v>0</v>
      </c>
    </row>
    <row r="363" spans="1:21">
      <c r="A363" s="2">
        <v>362</v>
      </c>
      <c r="B363" s="2">
        <v>0</v>
      </c>
      <c r="C363" s="8">
        <f>(data!C363-AVERAGE(data!C:C))/_xlfn.STDEV.S(data!C:C)</f>
        <v>-1.3486659408393216</v>
      </c>
      <c r="D363" s="2">
        <v>1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8">
        <f>(data!J363-AVERAGE(data!J:J))/_xlfn.STDEV.S(data!J:J)</f>
        <v>-0.56065726673658578</v>
      </c>
      <c r="K363" s="2">
        <v>0</v>
      </c>
      <c r="L363" s="2">
        <v>1</v>
      </c>
      <c r="M363" s="2">
        <v>0</v>
      </c>
      <c r="N363" s="2">
        <v>1</v>
      </c>
      <c r="O363" s="2">
        <v>1</v>
      </c>
      <c r="P363" s="2">
        <v>1</v>
      </c>
      <c r="Q363" s="2">
        <v>0</v>
      </c>
      <c r="R363" s="2">
        <v>0</v>
      </c>
      <c r="S363" s="6" cm="1">
        <f t="array" ref="S363">$Y$2+MMULT(C363:R363,$Y$3:$Y$18)</f>
        <v>-15.338926667505884</v>
      </c>
      <c r="T363" s="7">
        <f t="shared" si="11"/>
        <v>2.1796597038969946E-7</v>
      </c>
      <c r="U363" s="3">
        <f t="shared" si="10"/>
        <v>0</v>
      </c>
    </row>
    <row r="364" spans="1:21">
      <c r="A364" s="2">
        <v>363</v>
      </c>
      <c r="B364" s="2">
        <v>0</v>
      </c>
      <c r="C364" s="8">
        <f>(data!C364-AVERAGE(data!C:C))/_xlfn.STDEV.S(data!C:C)</f>
        <v>-1.3066622975637936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8">
        <f>(data!J364-AVERAGE(data!J:J))/_xlfn.STDEV.S(data!J:J)</f>
        <v>-1.2984218075028078</v>
      </c>
      <c r="K364" s="2">
        <v>0</v>
      </c>
      <c r="L364" s="2">
        <v>0</v>
      </c>
      <c r="M364" s="2">
        <v>0</v>
      </c>
      <c r="N364" s="2">
        <v>1</v>
      </c>
      <c r="O364" s="2">
        <v>1</v>
      </c>
      <c r="P364" s="2">
        <v>1</v>
      </c>
      <c r="Q364" s="2">
        <v>0</v>
      </c>
      <c r="R364" s="2">
        <v>0</v>
      </c>
      <c r="S364" s="6" cm="1">
        <f t="array" ref="S364">$Y$2+MMULT(C364:R364,$Y$3:$Y$18)</f>
        <v>-14.868965454012622</v>
      </c>
      <c r="T364" s="7">
        <f t="shared" si="11"/>
        <v>3.4873071503049284E-7</v>
      </c>
      <c r="U364" s="3">
        <f t="shared" si="10"/>
        <v>0</v>
      </c>
    </row>
    <row r="365" spans="1:21">
      <c r="A365" s="2">
        <v>364</v>
      </c>
      <c r="B365" s="2">
        <v>0</v>
      </c>
      <c r="C365" s="8">
        <f>(data!C365-AVERAGE(data!C:C))/_xlfn.STDEV.S(data!C:C)</f>
        <v>-1.3906695841148498</v>
      </c>
      <c r="D365" s="2">
        <v>1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8">
        <f>(data!J365-AVERAGE(data!J:J))/_xlfn.STDEV.S(data!J:J)</f>
        <v>-0.78198662896645244</v>
      </c>
      <c r="K365" s="2">
        <v>0</v>
      </c>
      <c r="L365" s="2">
        <v>0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 s="6" cm="1">
        <f t="array" ref="S365">$Y$2+MMULT(C365:R365,$Y$3:$Y$18)</f>
        <v>-13.167586935065904</v>
      </c>
      <c r="T365" s="7">
        <f t="shared" si="11"/>
        <v>1.9115639162348975E-6</v>
      </c>
      <c r="U365" s="3">
        <f t="shared" si="10"/>
        <v>0</v>
      </c>
    </row>
    <row r="366" spans="1:21">
      <c r="A366" s="2">
        <v>365</v>
      </c>
      <c r="B366" s="2">
        <v>0</v>
      </c>
      <c r="C366" s="8">
        <f>(data!C366-AVERAGE(data!C:C))/_xlfn.STDEV.S(data!C:C)</f>
        <v>-1.0966440811861533</v>
      </c>
      <c r="D366" s="2">
        <v>1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8">
        <f>(data!J366-AVERAGE(data!J:J))/_xlfn.STDEV.S(data!J:J)</f>
        <v>-0.26555145043009704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1</v>
      </c>
      <c r="Q366" s="2">
        <v>0</v>
      </c>
      <c r="R366" s="2">
        <v>0</v>
      </c>
      <c r="S366" s="6" cm="1">
        <f t="array" ref="S366">$Y$2+MMULT(C366:R366,$Y$3:$Y$18)</f>
        <v>-14.902012278250027</v>
      </c>
      <c r="T366" s="7">
        <f t="shared" si="11"/>
        <v>3.3739461891436328E-7</v>
      </c>
      <c r="U366" s="3">
        <f t="shared" si="10"/>
        <v>0</v>
      </c>
    </row>
    <row r="367" spans="1:21">
      <c r="A367" s="2">
        <v>366</v>
      </c>
      <c r="B367" s="2">
        <v>0</v>
      </c>
      <c r="C367" s="8">
        <f>(data!C367-AVERAGE(data!C:C))/_xlfn.STDEV.S(data!C:C)</f>
        <v>7.9457930528632384E-2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1</v>
      </c>
      <c r="J367" s="8">
        <f>(data!J367-AVERAGE(data!J:J))/_xlfn.STDEV.S(data!J:J)</f>
        <v>0.61976599848936942</v>
      </c>
      <c r="K367" s="2">
        <v>0</v>
      </c>
      <c r="L367" s="2">
        <v>1</v>
      </c>
      <c r="M367" s="2">
        <v>0</v>
      </c>
      <c r="N367" s="2">
        <v>1</v>
      </c>
      <c r="O367" s="2">
        <v>1</v>
      </c>
      <c r="P367" s="2">
        <v>1</v>
      </c>
      <c r="Q367" s="2">
        <v>0</v>
      </c>
      <c r="R367" s="2">
        <v>1</v>
      </c>
      <c r="S367" s="6" cm="1">
        <f t="array" ref="S367">$Y$2+MMULT(C367:R367,$Y$3:$Y$18)</f>
        <v>-5.2417566928531727</v>
      </c>
      <c r="T367" s="7">
        <f t="shared" si="11"/>
        <v>5.2631072273069375E-3</v>
      </c>
      <c r="U367" s="3">
        <f t="shared" si="10"/>
        <v>0</v>
      </c>
    </row>
    <row r="368" spans="1:21">
      <c r="A368" s="2">
        <v>367</v>
      </c>
      <c r="B368" s="2">
        <v>0</v>
      </c>
      <c r="C368" s="8">
        <f>(data!C368-AVERAGE(data!C:C))/_xlfn.STDEV.S(data!C:C)</f>
        <v>-0.67660764843087262</v>
      </c>
      <c r="D368" s="2">
        <v>0</v>
      </c>
      <c r="E368" s="2">
        <v>0</v>
      </c>
      <c r="F368" s="2">
        <v>0</v>
      </c>
      <c r="G368" s="2">
        <v>1</v>
      </c>
      <c r="H368" s="2">
        <v>0</v>
      </c>
      <c r="I368" s="2">
        <v>0</v>
      </c>
      <c r="J368" s="8">
        <f>(data!J368-AVERAGE(data!J:J))/_xlfn.STDEV.S(data!J:J)</f>
        <v>-0.19177499635347484</v>
      </c>
      <c r="K368" s="2">
        <v>0</v>
      </c>
      <c r="L368" s="2">
        <v>0</v>
      </c>
      <c r="M368" s="2">
        <v>0</v>
      </c>
      <c r="N368" s="2">
        <v>1</v>
      </c>
      <c r="O368" s="2">
        <v>0</v>
      </c>
      <c r="P368" s="2">
        <v>1</v>
      </c>
      <c r="Q368" s="2">
        <v>0</v>
      </c>
      <c r="R368" s="2">
        <v>0</v>
      </c>
      <c r="S368" s="6" cm="1">
        <f t="array" ref="S368">$Y$2+MMULT(C368:R368,$Y$3:$Y$18)</f>
        <v>-12.897411132612522</v>
      </c>
      <c r="T368" s="7">
        <f t="shared" si="11"/>
        <v>2.504519552741707E-6</v>
      </c>
      <c r="U368" s="3">
        <f t="shared" si="10"/>
        <v>0</v>
      </c>
    </row>
    <row r="369" spans="1:21">
      <c r="A369" s="2">
        <v>368</v>
      </c>
      <c r="B369" s="2">
        <v>0</v>
      </c>
      <c r="C369" s="8">
        <f>(data!C369-AVERAGE(data!C:C))/_xlfn.STDEV.S(data!C:C)</f>
        <v>-1.4326732273903777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8">
        <f>(data!J369-AVERAGE(data!J:J))/_xlfn.STDEV.S(data!J:J)</f>
        <v>-0.85576308304307458</v>
      </c>
      <c r="K369" s="2">
        <v>0</v>
      </c>
      <c r="L369" s="2">
        <v>1</v>
      </c>
      <c r="M369" s="2">
        <v>0</v>
      </c>
      <c r="N369" s="2">
        <v>1</v>
      </c>
      <c r="O369" s="2">
        <v>0</v>
      </c>
      <c r="P369" s="2">
        <v>1</v>
      </c>
      <c r="Q369" s="2">
        <v>0</v>
      </c>
      <c r="R369" s="2">
        <v>0</v>
      </c>
      <c r="S369" s="6" cm="1">
        <f t="array" ref="S369">$Y$2+MMULT(C369:R369,$Y$3:$Y$18)</f>
        <v>-17.896127143565813</v>
      </c>
      <c r="T369" s="7">
        <f t="shared" si="11"/>
        <v>1.6897043680576341E-8</v>
      </c>
      <c r="U369" s="3">
        <f t="shared" si="10"/>
        <v>0</v>
      </c>
    </row>
    <row r="370" spans="1:21">
      <c r="A370" s="2">
        <v>369</v>
      </c>
      <c r="B370" s="2">
        <v>0</v>
      </c>
      <c r="C370" s="8">
        <f>(data!C370-AVERAGE(data!C:C))/_xlfn.STDEV.S(data!C:C)</f>
        <v>3.7454287253104325E-2</v>
      </c>
      <c r="D370" s="2">
        <v>1</v>
      </c>
      <c r="E370" s="2">
        <v>1</v>
      </c>
      <c r="F370" s="2">
        <v>0</v>
      </c>
      <c r="G370" s="2">
        <v>0</v>
      </c>
      <c r="H370" s="2">
        <v>0</v>
      </c>
      <c r="I370" s="2">
        <v>0</v>
      </c>
      <c r="J370" s="8">
        <f>(data!J370-AVERAGE(data!J:J))/_xlfn.STDEV.S(data!J:J)</f>
        <v>0.39843663625950276</v>
      </c>
      <c r="K370" s="2">
        <v>1</v>
      </c>
      <c r="L370" s="2">
        <v>0</v>
      </c>
      <c r="M370" s="2">
        <v>1</v>
      </c>
      <c r="N370" s="2">
        <v>0</v>
      </c>
      <c r="O370" s="2">
        <v>0</v>
      </c>
      <c r="P370" s="2">
        <v>1</v>
      </c>
      <c r="Q370" s="2">
        <v>0</v>
      </c>
      <c r="R370" s="2">
        <v>1</v>
      </c>
      <c r="S370" s="6" cm="1">
        <f t="array" ref="S370">$Y$2+MMULT(C370:R370,$Y$3:$Y$18)</f>
        <v>-5.0797900120470381</v>
      </c>
      <c r="T370" s="7">
        <f t="shared" si="11"/>
        <v>6.182751033971862E-3</v>
      </c>
      <c r="U370" s="3">
        <f t="shared" si="10"/>
        <v>0</v>
      </c>
    </row>
    <row r="371" spans="1:21">
      <c r="A371" s="2">
        <v>370</v>
      </c>
      <c r="B371" s="2">
        <v>0</v>
      </c>
      <c r="C371" s="8">
        <f>(data!C371-AVERAGE(data!C:C))/_xlfn.STDEV.S(data!C:C)</f>
        <v>0.79351986621260939</v>
      </c>
      <c r="D371" s="2">
        <v>0</v>
      </c>
      <c r="E371" s="2">
        <v>1</v>
      </c>
      <c r="F371" s="2">
        <v>0</v>
      </c>
      <c r="G371" s="2">
        <v>0</v>
      </c>
      <c r="H371" s="2">
        <v>0</v>
      </c>
      <c r="I371" s="2">
        <v>0</v>
      </c>
      <c r="J371" s="8">
        <f>(data!J371-AVERAGE(data!J:J))/_xlfn.STDEV.S(data!J:J)</f>
        <v>0.61976599848936942</v>
      </c>
      <c r="K371" s="2">
        <v>1</v>
      </c>
      <c r="L371" s="2">
        <v>0</v>
      </c>
      <c r="M371" s="2">
        <v>0</v>
      </c>
      <c r="N371" s="2">
        <v>1</v>
      </c>
      <c r="O371" s="2">
        <v>1</v>
      </c>
      <c r="P371" s="2">
        <v>1</v>
      </c>
      <c r="Q371" s="2">
        <v>0</v>
      </c>
      <c r="R371" s="2">
        <v>0</v>
      </c>
      <c r="S371" s="6" cm="1">
        <f t="array" ref="S371">$Y$2+MMULT(C371:R371,$Y$3:$Y$18)</f>
        <v>-1.0973700452138204</v>
      </c>
      <c r="T371" s="7">
        <f t="shared" si="11"/>
        <v>0.25023299297621687</v>
      </c>
      <c r="U371" s="3">
        <f t="shared" si="10"/>
        <v>0</v>
      </c>
    </row>
    <row r="372" spans="1:21">
      <c r="A372" s="2">
        <v>371</v>
      </c>
      <c r="B372" s="2">
        <v>0</v>
      </c>
      <c r="C372" s="8">
        <f>(data!C372-AVERAGE(data!C:C))/_xlfn.STDEV.S(data!C:C)</f>
        <v>-0.29857485895112013</v>
      </c>
      <c r="D372" s="2">
        <v>1</v>
      </c>
      <c r="E372" s="2">
        <v>0</v>
      </c>
      <c r="F372" s="2">
        <v>0</v>
      </c>
      <c r="G372" s="2">
        <v>1</v>
      </c>
      <c r="H372" s="2">
        <v>0</v>
      </c>
      <c r="I372" s="2">
        <v>0</v>
      </c>
      <c r="J372" s="8">
        <f>(data!J372-AVERAGE(data!J:J))/_xlfn.STDEV.S(data!J:J)</f>
        <v>-1.2246453534261856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1</v>
      </c>
      <c r="Q372" s="2">
        <v>0</v>
      </c>
      <c r="R372" s="2">
        <v>0</v>
      </c>
      <c r="S372" s="6" cm="1">
        <f t="array" ref="S372">$Y$2+MMULT(C372:R372,$Y$3:$Y$18)</f>
        <v>-10.615754419186146</v>
      </c>
      <c r="T372" s="7">
        <f t="shared" si="11"/>
        <v>2.4525946856891964E-5</v>
      </c>
      <c r="U372" s="3">
        <f t="shared" si="10"/>
        <v>0</v>
      </c>
    </row>
    <row r="373" spans="1:21">
      <c r="A373" s="2">
        <v>372</v>
      </c>
      <c r="B373" s="2">
        <v>0</v>
      </c>
      <c r="C373" s="8">
        <f>(data!C373-AVERAGE(data!C:C))/_xlfn.STDEV.S(data!C:C)</f>
        <v>0.49949436328391295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8">
        <f>(data!J373-AVERAGE(data!J:J))/_xlfn.STDEV.S(data!J:J)</f>
        <v>0.47221309033612496</v>
      </c>
      <c r="K373" s="2">
        <v>0</v>
      </c>
      <c r="L373" s="2">
        <v>1</v>
      </c>
      <c r="M373" s="2">
        <v>0</v>
      </c>
      <c r="N373" s="2">
        <v>1</v>
      </c>
      <c r="O373" s="2">
        <v>0</v>
      </c>
      <c r="P373" s="2">
        <v>1</v>
      </c>
      <c r="Q373" s="2">
        <v>0</v>
      </c>
      <c r="R373" s="2">
        <v>0</v>
      </c>
      <c r="S373" s="6" cm="1">
        <f t="array" ref="S373">$Y$2+MMULT(C373:R373,$Y$3:$Y$18)</f>
        <v>-5.5925952819359752</v>
      </c>
      <c r="T373" s="7">
        <f t="shared" si="11"/>
        <v>3.7115202812056064E-3</v>
      </c>
      <c r="U373" s="3">
        <f t="shared" si="10"/>
        <v>0</v>
      </c>
    </row>
    <row r="374" spans="1:21">
      <c r="A374" s="2">
        <v>373</v>
      </c>
      <c r="B374" s="2">
        <v>0</v>
      </c>
      <c r="C374" s="8">
        <f>(data!C374-AVERAGE(data!C:C))/_xlfn.STDEV.S(data!C:C)</f>
        <v>0.28947614690627266</v>
      </c>
      <c r="D374" s="2">
        <v>1</v>
      </c>
      <c r="E374" s="2">
        <v>1</v>
      </c>
      <c r="F374" s="2">
        <v>0</v>
      </c>
      <c r="G374" s="2">
        <v>0</v>
      </c>
      <c r="H374" s="2">
        <v>0</v>
      </c>
      <c r="I374" s="2">
        <v>0</v>
      </c>
      <c r="J374" s="8">
        <f>(data!J374-AVERAGE(data!J:J))/_xlfn.STDEV.S(data!J:J)</f>
        <v>2.9806125289412799</v>
      </c>
      <c r="K374" s="2">
        <v>0</v>
      </c>
      <c r="L374" s="2">
        <v>0</v>
      </c>
      <c r="M374" s="2">
        <v>1</v>
      </c>
      <c r="N374" s="2">
        <v>0</v>
      </c>
      <c r="O374" s="2">
        <v>1</v>
      </c>
      <c r="P374" s="2">
        <v>1</v>
      </c>
      <c r="Q374" s="2">
        <v>0</v>
      </c>
      <c r="R374" s="2">
        <v>0</v>
      </c>
      <c r="S374" s="6" cm="1">
        <f t="array" ref="S374">$Y$2+MMULT(C374:R374,$Y$3:$Y$18)</f>
        <v>-0.80360937942165789</v>
      </c>
      <c r="T374" s="7">
        <f t="shared" si="11"/>
        <v>0.30925396749834549</v>
      </c>
      <c r="U374" s="3">
        <f t="shared" si="10"/>
        <v>0</v>
      </c>
    </row>
    <row r="375" spans="1:21">
      <c r="A375" s="2">
        <v>374</v>
      </c>
      <c r="B375" s="2">
        <v>0</v>
      </c>
      <c r="C375" s="8">
        <f>(data!C375-AVERAGE(data!C:C))/_xlfn.STDEV.S(data!C:C)</f>
        <v>-1.1386477244616813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8">
        <f>(data!J375-AVERAGE(data!J:J))/_xlfn.STDEV.S(data!J:J)</f>
        <v>-1.2984218075028078</v>
      </c>
      <c r="K375" s="2">
        <v>0</v>
      </c>
      <c r="L375" s="2">
        <v>1</v>
      </c>
      <c r="M375" s="2">
        <v>0</v>
      </c>
      <c r="N375" s="2">
        <v>1</v>
      </c>
      <c r="O375" s="2">
        <v>1</v>
      </c>
      <c r="P375" s="2">
        <v>1</v>
      </c>
      <c r="Q375" s="2">
        <v>0</v>
      </c>
      <c r="R375" s="2">
        <v>0</v>
      </c>
      <c r="S375" s="6" cm="1">
        <f t="array" ref="S375">$Y$2+MMULT(C375:R375,$Y$3:$Y$18)</f>
        <v>-14.704021148662012</v>
      </c>
      <c r="T375" s="7">
        <f t="shared" si="11"/>
        <v>4.1126767382262874E-7</v>
      </c>
      <c r="U375" s="3">
        <f t="shared" si="10"/>
        <v>0</v>
      </c>
    </row>
    <row r="376" spans="1:21">
      <c r="A376" s="2">
        <v>375</v>
      </c>
      <c r="B376" s="2">
        <v>0</v>
      </c>
      <c r="C376" s="8">
        <f>(data!C376-AVERAGE(data!C:C))/_xlfn.STDEV.S(data!C:C)</f>
        <v>-0.67660764843087262</v>
      </c>
      <c r="D376" s="2">
        <v>0</v>
      </c>
      <c r="E376" s="2">
        <v>0</v>
      </c>
      <c r="F376" s="2">
        <v>0</v>
      </c>
      <c r="G376" s="2">
        <v>1</v>
      </c>
      <c r="H376" s="2">
        <v>0</v>
      </c>
      <c r="I376" s="2">
        <v>0</v>
      </c>
      <c r="J376" s="8">
        <f>(data!J376-AVERAGE(data!J:J))/_xlfn.STDEV.S(data!J:J)</f>
        <v>-0.70821017488983018</v>
      </c>
      <c r="K376" s="2">
        <v>0</v>
      </c>
      <c r="L376" s="2">
        <v>0</v>
      </c>
      <c r="M376" s="2">
        <v>1</v>
      </c>
      <c r="N376" s="2">
        <v>1</v>
      </c>
      <c r="O376" s="2">
        <v>1</v>
      </c>
      <c r="P376" s="2">
        <v>1</v>
      </c>
      <c r="Q376" s="2">
        <v>0</v>
      </c>
      <c r="R376" s="2">
        <v>1</v>
      </c>
      <c r="S376" s="6" cm="1">
        <f t="array" ref="S376">$Y$2+MMULT(C376:R376,$Y$3:$Y$18)</f>
        <v>-9.7853969261783451</v>
      </c>
      <c r="T376" s="7">
        <f t="shared" si="11"/>
        <v>5.6264138806751733E-5</v>
      </c>
      <c r="U376" s="3">
        <f t="shared" si="10"/>
        <v>0</v>
      </c>
    </row>
    <row r="377" spans="1:21">
      <c r="A377" s="2">
        <v>376</v>
      </c>
      <c r="B377" s="2">
        <v>0</v>
      </c>
      <c r="C377" s="8">
        <f>(data!C377-AVERAGE(data!C:C))/_xlfn.STDEV.S(data!C:C)</f>
        <v>0.62550529311049718</v>
      </c>
      <c r="D377" s="2">
        <v>0</v>
      </c>
      <c r="E377" s="2">
        <v>0</v>
      </c>
      <c r="F377" s="2">
        <v>1</v>
      </c>
      <c r="G377" s="2">
        <v>1</v>
      </c>
      <c r="H377" s="2">
        <v>0</v>
      </c>
      <c r="I377" s="2">
        <v>0</v>
      </c>
      <c r="J377" s="8">
        <f>(data!J377-AVERAGE(data!J:J))/_xlfn.STDEV.S(data!J:J)</f>
        <v>-0.92953953711969683</v>
      </c>
      <c r="K377" s="2">
        <v>0</v>
      </c>
      <c r="L377" s="2">
        <v>0</v>
      </c>
      <c r="M377" s="2">
        <v>0</v>
      </c>
      <c r="N377" s="2">
        <v>1</v>
      </c>
      <c r="O377" s="2">
        <v>1</v>
      </c>
      <c r="P377" s="2">
        <v>1</v>
      </c>
      <c r="Q377" s="2">
        <v>0</v>
      </c>
      <c r="R377" s="2">
        <v>0</v>
      </c>
      <c r="S377" s="6" cm="1">
        <f t="array" ref="S377">$Y$2+MMULT(C377:R377,$Y$3:$Y$18)</f>
        <v>-4.4742468210809268</v>
      </c>
      <c r="T377" s="7">
        <f t="shared" si="11"/>
        <v>1.1270335878922342E-2</v>
      </c>
      <c r="U377" s="3">
        <f t="shared" si="10"/>
        <v>0</v>
      </c>
    </row>
    <row r="378" spans="1:21">
      <c r="A378" s="2">
        <v>377</v>
      </c>
      <c r="B378" s="2">
        <v>0</v>
      </c>
      <c r="C378" s="8">
        <f>(data!C378-AVERAGE(data!C:C))/_xlfn.STDEV.S(data!C:C)</f>
        <v>-1.0546404379106251</v>
      </c>
      <c r="D378" s="2">
        <v>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8">
        <f>(data!J378-AVERAGE(data!J:J))/_xlfn.STDEV.S(data!J:J)</f>
        <v>-0.70821017488983018</v>
      </c>
      <c r="K378" s="2">
        <v>0</v>
      </c>
      <c r="L378" s="2">
        <v>1</v>
      </c>
      <c r="M378" s="2">
        <v>1</v>
      </c>
      <c r="N378" s="2">
        <v>1</v>
      </c>
      <c r="O378" s="2">
        <v>0</v>
      </c>
      <c r="P378" s="2">
        <v>1</v>
      </c>
      <c r="Q378" s="2">
        <v>0</v>
      </c>
      <c r="R378" s="2">
        <v>0</v>
      </c>
      <c r="S378" s="6" cm="1">
        <f t="array" ref="S378">$Y$2+MMULT(C378:R378,$Y$3:$Y$18)</f>
        <v>-13.879603090785146</v>
      </c>
      <c r="T378" s="7">
        <f t="shared" si="11"/>
        <v>9.3791732760801943E-7</v>
      </c>
      <c r="U378" s="3">
        <f t="shared" si="10"/>
        <v>0</v>
      </c>
    </row>
    <row r="379" spans="1:21">
      <c r="A379" s="2">
        <v>378</v>
      </c>
      <c r="B379" s="2">
        <v>1</v>
      </c>
      <c r="C379" s="8">
        <f>(data!C379-AVERAGE(data!C:C))/_xlfn.STDEV.S(data!C:C)</f>
        <v>1.4655781586210583</v>
      </c>
      <c r="D379" s="2">
        <v>1</v>
      </c>
      <c r="E379" s="2">
        <v>1</v>
      </c>
      <c r="F379" s="2">
        <v>0</v>
      </c>
      <c r="G379" s="2">
        <v>0</v>
      </c>
      <c r="H379" s="2">
        <v>0</v>
      </c>
      <c r="I379" s="2">
        <v>0</v>
      </c>
      <c r="J379" s="8">
        <f>(data!J379-AVERAGE(data!J:J))/_xlfn.STDEV.S(data!J:J)</f>
        <v>0.61976599848936942</v>
      </c>
      <c r="K379" s="2">
        <v>1</v>
      </c>
      <c r="L379" s="2">
        <v>0</v>
      </c>
      <c r="M379" s="2">
        <v>1</v>
      </c>
      <c r="N379" s="2">
        <v>1</v>
      </c>
      <c r="O379" s="2">
        <v>1</v>
      </c>
      <c r="P379" s="2">
        <v>1</v>
      </c>
      <c r="Q379" s="2">
        <v>0</v>
      </c>
      <c r="R379" s="2">
        <v>0</v>
      </c>
      <c r="S379" s="6" cm="1">
        <f t="array" ref="S379">$Y$2+MMULT(C379:R379,$Y$3:$Y$18)</f>
        <v>4.5840287316987318</v>
      </c>
      <c r="T379" s="7">
        <f t="shared" si="11"/>
        <v>0.98988959906900842</v>
      </c>
      <c r="U379" s="3">
        <f t="shared" si="10"/>
        <v>1</v>
      </c>
    </row>
    <row r="380" spans="1:21">
      <c r="A380" s="2">
        <v>379</v>
      </c>
      <c r="B380" s="2">
        <v>0</v>
      </c>
      <c r="C380" s="8">
        <f>(data!C380-AVERAGE(data!C:C))/_xlfn.STDEV.S(data!C:C)</f>
        <v>-0.34057850222664821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8">
        <f>(data!J380-AVERAGE(data!J:J))/_xlfn.STDEV.S(data!J:J)</f>
        <v>0.10333081995301398</v>
      </c>
      <c r="K380" s="2">
        <v>0</v>
      </c>
      <c r="L380" s="2">
        <v>0</v>
      </c>
      <c r="M380" s="2">
        <v>0</v>
      </c>
      <c r="N380" s="2">
        <v>1</v>
      </c>
      <c r="O380" s="2">
        <v>1</v>
      </c>
      <c r="P380" s="2">
        <v>1</v>
      </c>
      <c r="Q380" s="2">
        <v>0</v>
      </c>
      <c r="R380" s="2">
        <v>0</v>
      </c>
      <c r="S380" s="6" cm="1">
        <f t="array" ref="S380">$Y$2+MMULT(C380:R380,$Y$3:$Y$18)</f>
        <v>-8.2795625635031129</v>
      </c>
      <c r="T380" s="7">
        <f t="shared" si="11"/>
        <v>2.5358380966083896E-4</v>
      </c>
      <c r="U380" s="3">
        <f t="shared" si="10"/>
        <v>0</v>
      </c>
    </row>
    <row r="381" spans="1:21">
      <c r="A381" s="2">
        <v>380</v>
      </c>
      <c r="B381" s="2">
        <v>0</v>
      </c>
      <c r="C381" s="8">
        <f>(data!C381-AVERAGE(data!C:C))/_xlfn.STDEV.S(data!C:C)</f>
        <v>-0.21456757240006402</v>
      </c>
      <c r="D381" s="2">
        <v>0</v>
      </c>
      <c r="E381" s="2">
        <v>0</v>
      </c>
      <c r="F381" s="2">
        <v>1</v>
      </c>
      <c r="G381" s="2">
        <v>1</v>
      </c>
      <c r="H381" s="2">
        <v>0</v>
      </c>
      <c r="I381" s="2">
        <v>0</v>
      </c>
      <c r="J381" s="8">
        <f>(data!J381-AVERAGE(data!J:J))/_xlfn.STDEV.S(data!J:J)</f>
        <v>-1.2984218075028078</v>
      </c>
      <c r="K381" s="2">
        <v>0</v>
      </c>
      <c r="L381" s="2">
        <v>0</v>
      </c>
      <c r="M381" s="2">
        <v>0</v>
      </c>
      <c r="N381" s="2">
        <v>0</v>
      </c>
      <c r="O381" s="2">
        <v>1</v>
      </c>
      <c r="P381" s="2">
        <v>1</v>
      </c>
      <c r="Q381" s="2">
        <v>0</v>
      </c>
      <c r="R381" s="2">
        <v>0</v>
      </c>
      <c r="S381" s="6" cm="1">
        <f t="array" ref="S381">$Y$2+MMULT(C381:R381,$Y$3:$Y$18)</f>
        <v>-9.2378417863062978</v>
      </c>
      <c r="T381" s="7">
        <f t="shared" si="11"/>
        <v>9.7277866754857758E-5</v>
      </c>
      <c r="U381" s="3">
        <f t="shared" si="10"/>
        <v>0</v>
      </c>
    </row>
    <row r="382" spans="1:21">
      <c r="A382" s="2">
        <v>381</v>
      </c>
      <c r="B382" s="2">
        <v>0</v>
      </c>
      <c r="C382" s="8">
        <f>(data!C382-AVERAGE(data!C:C))/_xlfn.STDEV.S(data!C:C)</f>
        <v>-0.7186112917064007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8">
        <f>(data!J382-AVERAGE(data!J:J))/_xlfn.STDEV.S(data!J:J)</f>
        <v>0.47221309033612496</v>
      </c>
      <c r="K382" s="2">
        <v>0</v>
      </c>
      <c r="L382" s="2">
        <v>0</v>
      </c>
      <c r="M382" s="2">
        <v>0</v>
      </c>
      <c r="N382" s="2">
        <v>1</v>
      </c>
      <c r="O382" s="2">
        <v>1</v>
      </c>
      <c r="P382" s="2">
        <v>1</v>
      </c>
      <c r="Q382" s="2">
        <v>0</v>
      </c>
      <c r="R382" s="2">
        <v>0</v>
      </c>
      <c r="S382" s="6" cm="1">
        <f t="array" ref="S382">$Y$2+MMULT(C382:R382,$Y$3:$Y$18)</f>
        <v>-10.313832518603995</v>
      </c>
      <c r="T382" s="7">
        <f t="shared" si="11"/>
        <v>3.3169967356882566E-5</v>
      </c>
      <c r="U382" s="3">
        <f t="shared" si="10"/>
        <v>0</v>
      </c>
    </row>
    <row r="383" spans="1:21">
      <c r="A383" s="2">
        <v>382</v>
      </c>
      <c r="B383" s="2">
        <v>1</v>
      </c>
      <c r="C383" s="8">
        <f>(data!C383-AVERAGE(data!C:C))/_xlfn.STDEV.S(data!C:C)</f>
        <v>1.6755963749986986</v>
      </c>
      <c r="D383" s="2">
        <v>1</v>
      </c>
      <c r="E383" s="2">
        <v>1</v>
      </c>
      <c r="F383" s="2">
        <v>0</v>
      </c>
      <c r="G383" s="2">
        <v>0</v>
      </c>
      <c r="H383" s="2">
        <v>0</v>
      </c>
      <c r="I383" s="2">
        <v>0</v>
      </c>
      <c r="J383" s="8">
        <f>(data!J383-AVERAGE(data!J:J))/_xlfn.STDEV.S(data!J:J)</f>
        <v>0.39843663625950276</v>
      </c>
      <c r="K383" s="2">
        <v>0</v>
      </c>
      <c r="L383" s="2">
        <v>0</v>
      </c>
      <c r="M383" s="2">
        <v>1</v>
      </c>
      <c r="N383" s="2">
        <v>1</v>
      </c>
      <c r="O383" s="2">
        <v>1</v>
      </c>
      <c r="P383" s="2">
        <v>1</v>
      </c>
      <c r="Q383" s="2">
        <v>0</v>
      </c>
      <c r="R383" s="2">
        <v>0</v>
      </c>
      <c r="S383" s="6" cm="1">
        <f t="array" ref="S383">$Y$2+MMULT(C383:R383,$Y$3:$Y$18)</f>
        <v>5.4638988197282785</v>
      </c>
      <c r="T383" s="7">
        <f t="shared" si="11"/>
        <v>0.99578087227731271</v>
      </c>
      <c r="U383" s="3">
        <f t="shared" si="10"/>
        <v>1</v>
      </c>
    </row>
    <row r="384" spans="1:21">
      <c r="A384" s="2">
        <v>383</v>
      </c>
      <c r="B384" s="2">
        <v>0</v>
      </c>
      <c r="C384" s="8">
        <f>(data!C384-AVERAGE(data!C:C))/_xlfn.STDEV.S(data!C:C)</f>
        <v>0.83552350948813747</v>
      </c>
      <c r="D384" s="2">
        <v>0</v>
      </c>
      <c r="E384" s="2">
        <v>1</v>
      </c>
      <c r="F384" s="2">
        <v>0</v>
      </c>
      <c r="G384" s="2">
        <v>1</v>
      </c>
      <c r="H384" s="2">
        <v>0</v>
      </c>
      <c r="I384" s="2">
        <v>0</v>
      </c>
      <c r="J384" s="8">
        <f>(data!J384-AVERAGE(data!J:J))/_xlfn.STDEV.S(data!J:J)</f>
        <v>-0.48688081265996364</v>
      </c>
      <c r="K384" s="2">
        <v>1</v>
      </c>
      <c r="L384" s="2">
        <v>0</v>
      </c>
      <c r="M384" s="2">
        <v>1</v>
      </c>
      <c r="N384" s="2">
        <v>1</v>
      </c>
      <c r="O384" s="2">
        <v>1</v>
      </c>
      <c r="P384" s="2">
        <v>1</v>
      </c>
      <c r="Q384" s="2">
        <v>0</v>
      </c>
      <c r="R384" s="2">
        <v>0</v>
      </c>
      <c r="S384" s="6" cm="1">
        <f t="array" ref="S384">$Y$2+MMULT(C384:R384,$Y$3:$Y$18)</f>
        <v>-0.74450987315075468</v>
      </c>
      <c r="T384" s="7">
        <f t="shared" si="11"/>
        <v>0.32201874691667215</v>
      </c>
      <c r="U384" s="3">
        <f t="shared" si="10"/>
        <v>0</v>
      </c>
    </row>
    <row r="385" spans="1:21">
      <c r="A385" s="2">
        <v>384</v>
      </c>
      <c r="B385" s="2">
        <v>0</v>
      </c>
      <c r="C385" s="8">
        <f>(data!C385-AVERAGE(data!C:C))/_xlfn.STDEV.S(data!C:C)</f>
        <v>-1.0546404379106251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8">
        <f>(data!J385-AVERAGE(data!J:J))/_xlfn.STDEV.S(data!J:J)</f>
        <v>-0.26555145043009704</v>
      </c>
      <c r="K385" s="2">
        <v>0</v>
      </c>
      <c r="L385" s="2">
        <v>1</v>
      </c>
      <c r="M385" s="2">
        <v>0</v>
      </c>
      <c r="N385" s="2">
        <v>1</v>
      </c>
      <c r="O385" s="2">
        <v>0</v>
      </c>
      <c r="P385" s="2">
        <v>1</v>
      </c>
      <c r="Q385" s="2">
        <v>0</v>
      </c>
      <c r="R385" s="2">
        <v>0</v>
      </c>
      <c r="S385" s="6" cm="1">
        <f t="array" ref="S385">$Y$2+MMULT(C385:R385,$Y$3:$Y$18)</f>
        <v>-15.113755822206992</v>
      </c>
      <c r="T385" s="7">
        <f t="shared" si="11"/>
        <v>2.730103596030835E-7</v>
      </c>
      <c r="U385" s="3">
        <f t="shared" si="10"/>
        <v>0</v>
      </c>
    </row>
    <row r="386" spans="1:21">
      <c r="A386" s="2">
        <v>385</v>
      </c>
      <c r="B386" s="2">
        <v>0</v>
      </c>
      <c r="C386" s="8">
        <f>(data!C386-AVERAGE(data!C:C))/_xlfn.STDEV.S(data!C:C)</f>
        <v>-0.21456757240006402</v>
      </c>
      <c r="D386" s="2">
        <v>0</v>
      </c>
      <c r="E386" s="2">
        <v>1</v>
      </c>
      <c r="F386" s="2">
        <v>1</v>
      </c>
      <c r="G386" s="2">
        <v>0</v>
      </c>
      <c r="H386" s="2">
        <v>0</v>
      </c>
      <c r="I386" s="2">
        <v>0</v>
      </c>
      <c r="J386" s="8">
        <f>(data!J386-AVERAGE(data!J:J))/_xlfn.STDEV.S(data!J:J)</f>
        <v>1.5050834474088357</v>
      </c>
      <c r="K386" s="2">
        <v>1</v>
      </c>
      <c r="L386" s="2">
        <v>0</v>
      </c>
      <c r="M386" s="2">
        <v>1</v>
      </c>
      <c r="N386" s="2">
        <v>1</v>
      </c>
      <c r="O386" s="2">
        <v>1</v>
      </c>
      <c r="P386" s="2">
        <v>1</v>
      </c>
      <c r="Q386" s="2">
        <v>0</v>
      </c>
      <c r="R386" s="2">
        <v>0</v>
      </c>
      <c r="S386" s="6" cm="1">
        <f t="array" ref="S386">$Y$2+MMULT(C386:R386,$Y$3:$Y$18)</f>
        <v>-5.6858293388930328</v>
      </c>
      <c r="T386" s="7">
        <f t="shared" si="11"/>
        <v>3.3822391758402443E-3</v>
      </c>
      <c r="U386" s="3">
        <f t="shared" ref="U386:U449" si="12">IF(T386&gt;=cut,1,0)</f>
        <v>0</v>
      </c>
    </row>
    <row r="387" spans="1:21">
      <c r="A387" s="2">
        <v>386</v>
      </c>
      <c r="B387" s="2">
        <v>0</v>
      </c>
      <c r="C387" s="8">
        <f>(data!C387-AVERAGE(data!C:C))/_xlfn.STDEV.S(data!C:C)</f>
        <v>-0.63460400515534465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8">
        <f>(data!J387-AVERAGE(data!J:J))/_xlfn.STDEV.S(data!J:J)</f>
        <v>0.91487181479585822</v>
      </c>
      <c r="K387" s="2">
        <v>0</v>
      </c>
      <c r="L387" s="2">
        <v>0</v>
      </c>
      <c r="M387" s="2">
        <v>0</v>
      </c>
      <c r="N387" s="2">
        <v>1</v>
      </c>
      <c r="O387" s="2">
        <v>1</v>
      </c>
      <c r="P387" s="2">
        <v>1</v>
      </c>
      <c r="Q387" s="2">
        <v>0</v>
      </c>
      <c r="R387" s="2">
        <v>1</v>
      </c>
      <c r="S387" s="6" cm="1">
        <f t="array" ref="S387">$Y$2+MMULT(C387:R387,$Y$3:$Y$18)</f>
        <v>-9.3312249075778251</v>
      </c>
      <c r="T387" s="7">
        <f t="shared" ref="T387:T450" si="13">EXP(S387)/(1+EXP(S387))</f>
        <v>8.8605775408608751E-5</v>
      </c>
      <c r="U387" s="3">
        <f t="shared" si="12"/>
        <v>0</v>
      </c>
    </row>
    <row r="388" spans="1:21">
      <c r="A388" s="2">
        <v>387</v>
      </c>
      <c r="B388" s="2">
        <v>0</v>
      </c>
      <c r="C388" s="8">
        <f>(data!C388-AVERAGE(data!C:C))/_xlfn.STDEV.S(data!C:C)</f>
        <v>-0.38258214550217629</v>
      </c>
      <c r="D388" s="2">
        <v>0</v>
      </c>
      <c r="E388" s="2">
        <v>0</v>
      </c>
      <c r="F388" s="2">
        <v>1</v>
      </c>
      <c r="G388" s="2">
        <v>1</v>
      </c>
      <c r="H388" s="2">
        <v>0</v>
      </c>
      <c r="I388" s="2">
        <v>0</v>
      </c>
      <c r="J388" s="8">
        <f>(data!J388-AVERAGE(data!J:J))/_xlfn.STDEV.S(data!J:J)</f>
        <v>0.76731890664261382</v>
      </c>
      <c r="K388" s="2">
        <v>0</v>
      </c>
      <c r="L388" s="2">
        <v>0</v>
      </c>
      <c r="M388" s="2">
        <v>1</v>
      </c>
      <c r="N388" s="2">
        <v>0</v>
      </c>
      <c r="O388" s="2">
        <v>1</v>
      </c>
      <c r="P388" s="2">
        <v>1</v>
      </c>
      <c r="Q388" s="2">
        <v>0</v>
      </c>
      <c r="R388" s="2">
        <v>0</v>
      </c>
      <c r="S388" s="6" cm="1">
        <f t="array" ref="S388">$Y$2+MMULT(C388:R388,$Y$3:$Y$18)</f>
        <v>-7.5170960296775942</v>
      </c>
      <c r="T388" s="7">
        <f t="shared" si="13"/>
        <v>5.4341373181534972E-4</v>
      </c>
      <c r="U388" s="3">
        <f t="shared" si="12"/>
        <v>0</v>
      </c>
    </row>
    <row r="389" spans="1:21">
      <c r="A389" s="2">
        <v>388</v>
      </c>
      <c r="B389" s="2">
        <v>0</v>
      </c>
      <c r="C389" s="8">
        <f>(data!C389-AVERAGE(data!C:C))/_xlfn.STDEV.S(data!C:C)</f>
        <v>-1.1806513677372095</v>
      </c>
      <c r="D389" s="2">
        <v>1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8">
        <f>(data!J389-AVERAGE(data!J:J))/_xlfn.STDEV.S(data!J:J)</f>
        <v>-0.11799854227685262</v>
      </c>
      <c r="K389" s="2">
        <v>0</v>
      </c>
      <c r="L389" s="2">
        <v>0</v>
      </c>
      <c r="M389" s="2">
        <v>0</v>
      </c>
      <c r="N389" s="2">
        <v>1</v>
      </c>
      <c r="O389" s="2">
        <v>1</v>
      </c>
      <c r="P389" s="2">
        <v>1</v>
      </c>
      <c r="Q389" s="2">
        <v>0</v>
      </c>
      <c r="R389" s="2">
        <v>0</v>
      </c>
      <c r="S389" s="6" cm="1">
        <f t="array" ref="S389">$Y$2+MMULT(C389:R389,$Y$3:$Y$18)</f>
        <v>-13.238543521530246</v>
      </c>
      <c r="T389" s="7">
        <f t="shared" si="13"/>
        <v>1.780626477093027E-6</v>
      </c>
      <c r="U389" s="3">
        <f t="shared" si="12"/>
        <v>0</v>
      </c>
    </row>
    <row r="390" spans="1:21">
      <c r="A390" s="2">
        <v>389</v>
      </c>
      <c r="B390" s="2">
        <v>1</v>
      </c>
      <c r="C390" s="8">
        <f>(data!C390-AVERAGE(data!C:C))/_xlfn.STDEV.S(data!C:C)</f>
        <v>1.6755963749986986</v>
      </c>
      <c r="D390" s="2">
        <v>1</v>
      </c>
      <c r="E390" s="2">
        <v>0</v>
      </c>
      <c r="F390" s="2">
        <v>1</v>
      </c>
      <c r="G390" s="2">
        <v>1</v>
      </c>
      <c r="H390" s="2">
        <v>0</v>
      </c>
      <c r="I390" s="2">
        <v>0</v>
      </c>
      <c r="J390" s="8">
        <f>(data!J390-AVERAGE(data!J:J))/_xlfn.STDEV.S(data!J:J)</f>
        <v>-1.0770924452729411</v>
      </c>
      <c r="K390" s="2">
        <v>0</v>
      </c>
      <c r="L390" s="2">
        <v>1</v>
      </c>
      <c r="M390" s="2">
        <v>1</v>
      </c>
      <c r="N390" s="2">
        <v>1</v>
      </c>
      <c r="O390" s="2">
        <v>1</v>
      </c>
      <c r="P390" s="2">
        <v>1</v>
      </c>
      <c r="Q390" s="2">
        <v>0</v>
      </c>
      <c r="R390" s="2">
        <v>0</v>
      </c>
      <c r="S390" s="6" cm="1">
        <f t="array" ref="S390">$Y$2+MMULT(C390:R390,$Y$3:$Y$18)</f>
        <v>2.5362846664367495</v>
      </c>
      <c r="T390" s="7">
        <f t="shared" si="13"/>
        <v>0.92664668564193942</v>
      </c>
      <c r="U390" s="3">
        <f t="shared" si="12"/>
        <v>1</v>
      </c>
    </row>
    <row r="391" spans="1:21">
      <c r="A391" s="2">
        <v>390</v>
      </c>
      <c r="B391" s="2">
        <v>1</v>
      </c>
      <c r="C391" s="8">
        <f>(data!C391-AVERAGE(data!C:C))/_xlfn.STDEV.S(data!C:C)</f>
        <v>1.0455417258657778</v>
      </c>
      <c r="D391" s="2">
        <v>0</v>
      </c>
      <c r="E391" s="2">
        <v>1</v>
      </c>
      <c r="F391" s="2">
        <v>0</v>
      </c>
      <c r="G391" s="2">
        <v>1</v>
      </c>
      <c r="H391" s="2">
        <v>0</v>
      </c>
      <c r="I391" s="2">
        <v>0</v>
      </c>
      <c r="J391" s="8">
        <f>(data!J391-AVERAGE(data!J:J))/_xlfn.STDEV.S(data!J:J)</f>
        <v>-0.19177499635347484</v>
      </c>
      <c r="K391" s="2">
        <v>0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>
        <v>0</v>
      </c>
      <c r="R391" s="2">
        <v>0</v>
      </c>
      <c r="S391" s="6" cm="1">
        <f t="array" ref="S391">$Y$2+MMULT(C391:R391,$Y$3:$Y$18)</f>
        <v>-0.39472224573913239</v>
      </c>
      <c r="T391" s="7">
        <f t="shared" si="13"/>
        <v>0.40258103491599467</v>
      </c>
      <c r="U391" s="3">
        <f t="shared" si="12"/>
        <v>0</v>
      </c>
    </row>
    <row r="392" spans="1:21">
      <c r="A392" s="2">
        <v>391</v>
      </c>
      <c r="B392" s="2">
        <v>0</v>
      </c>
      <c r="C392" s="8">
        <f>(data!C392-AVERAGE(data!C:C))/_xlfn.STDEV.S(data!C:C)</f>
        <v>-0.97063315135956907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8">
        <f>(data!J392-AVERAGE(data!J:J))/_xlfn.STDEV.S(data!J:J)</f>
        <v>0.25088372810625836</v>
      </c>
      <c r="K392" s="2">
        <v>0</v>
      </c>
      <c r="L392" s="2">
        <v>1</v>
      </c>
      <c r="M392" s="2">
        <v>0</v>
      </c>
      <c r="N392" s="2">
        <v>1</v>
      </c>
      <c r="O392" s="2">
        <v>0</v>
      </c>
      <c r="P392" s="2">
        <v>1</v>
      </c>
      <c r="Q392" s="2">
        <v>0</v>
      </c>
      <c r="R392" s="2">
        <v>0</v>
      </c>
      <c r="S392" s="6" cm="1">
        <f t="array" ref="S392">$Y$2+MMULT(C392:R392,$Y$3:$Y$18)</f>
        <v>-14.485896950198377</v>
      </c>
      <c r="T392" s="7">
        <f t="shared" si="13"/>
        <v>5.1151063411655864E-7</v>
      </c>
      <c r="U392" s="3">
        <f t="shared" si="12"/>
        <v>0</v>
      </c>
    </row>
    <row r="393" spans="1:21">
      <c r="A393" s="2">
        <v>392</v>
      </c>
      <c r="B393" s="2">
        <v>0</v>
      </c>
      <c r="C393" s="8">
        <f>(data!C393-AVERAGE(data!C:C))/_xlfn.STDEV.S(data!C:C)</f>
        <v>1.1715526556923619</v>
      </c>
      <c r="D393" s="2">
        <v>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8">
        <f>(data!J393-AVERAGE(data!J:J))/_xlfn.STDEV.S(data!J:J)</f>
        <v>0.47221309033612496</v>
      </c>
      <c r="K393" s="2">
        <v>0</v>
      </c>
      <c r="L393" s="2">
        <v>1</v>
      </c>
      <c r="M393" s="2">
        <v>0</v>
      </c>
      <c r="N393" s="2">
        <v>1</v>
      </c>
      <c r="O393" s="2">
        <v>1</v>
      </c>
      <c r="P393" s="2">
        <v>0</v>
      </c>
      <c r="Q393" s="2">
        <v>0</v>
      </c>
      <c r="R393" s="2">
        <v>0</v>
      </c>
      <c r="S393" s="6" cm="1">
        <f t="array" ref="S393">$Y$2+MMULT(C393:R393,$Y$3:$Y$18)</f>
        <v>3.7131863444203832</v>
      </c>
      <c r="T393" s="7">
        <f t="shared" si="13"/>
        <v>0.97618150934310455</v>
      </c>
      <c r="U393" s="3">
        <f t="shared" si="12"/>
        <v>1</v>
      </c>
    </row>
    <row r="394" spans="1:21">
      <c r="A394" s="2">
        <v>393</v>
      </c>
      <c r="B394" s="2">
        <v>0</v>
      </c>
      <c r="C394" s="8">
        <f>(data!C394-AVERAGE(data!C:C))/_xlfn.STDEV.S(data!C:C)</f>
        <v>0.5835016498349691</v>
      </c>
      <c r="D394" s="2">
        <v>1</v>
      </c>
      <c r="E394" s="2">
        <v>1</v>
      </c>
      <c r="F394" s="2">
        <v>0</v>
      </c>
      <c r="G394" s="2">
        <v>1</v>
      </c>
      <c r="H394" s="2">
        <v>0</v>
      </c>
      <c r="I394" s="2">
        <v>0</v>
      </c>
      <c r="J394" s="8">
        <f>(data!J394-AVERAGE(data!J:J))/_xlfn.STDEV.S(data!J:J)</f>
        <v>0.84109536071923596</v>
      </c>
      <c r="K394" s="2">
        <v>1</v>
      </c>
      <c r="L394" s="2">
        <v>0</v>
      </c>
      <c r="M394" s="2">
        <v>0</v>
      </c>
      <c r="N394" s="2">
        <v>0</v>
      </c>
      <c r="O394" s="2">
        <v>0</v>
      </c>
      <c r="P394" s="2">
        <v>1</v>
      </c>
      <c r="Q394" s="2">
        <v>1</v>
      </c>
      <c r="R394" s="2">
        <v>0</v>
      </c>
      <c r="S394" s="6" cm="1">
        <f t="array" ref="S394">$Y$2+MMULT(C394:R394,$Y$3:$Y$18)</f>
        <v>-3.0286955138873477</v>
      </c>
      <c r="T394" s="7">
        <f t="shared" si="13"/>
        <v>4.6146212279675802E-2</v>
      </c>
      <c r="U394" s="3">
        <f t="shared" si="12"/>
        <v>0</v>
      </c>
    </row>
    <row r="395" spans="1:21">
      <c r="A395" s="2">
        <v>394</v>
      </c>
      <c r="B395" s="2">
        <v>0</v>
      </c>
      <c r="C395" s="8">
        <f>(data!C395-AVERAGE(data!C:C))/_xlfn.STDEV.S(data!C:C)</f>
        <v>-1.1386477244616813</v>
      </c>
      <c r="D395" s="2">
        <v>0</v>
      </c>
      <c r="E395" s="2">
        <v>1</v>
      </c>
      <c r="F395" s="2">
        <v>0</v>
      </c>
      <c r="G395" s="2">
        <v>0</v>
      </c>
      <c r="H395" s="2">
        <v>0</v>
      </c>
      <c r="I395" s="2">
        <v>0</v>
      </c>
      <c r="J395" s="8">
        <f>(data!J395-AVERAGE(data!J:J))/_xlfn.STDEV.S(data!J:J)</f>
        <v>-1.0770924452729411</v>
      </c>
      <c r="K395" s="2">
        <v>1</v>
      </c>
      <c r="L395" s="2">
        <v>1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6" cm="1">
        <f t="array" ref="S395">$Y$2+MMULT(C395:R395,$Y$3:$Y$18)</f>
        <v>-12.277516368316533</v>
      </c>
      <c r="T395" s="7">
        <f t="shared" si="13"/>
        <v>4.6552216935380647E-6</v>
      </c>
      <c r="U395" s="3">
        <f t="shared" si="12"/>
        <v>0</v>
      </c>
    </row>
    <row r="396" spans="1:21">
      <c r="A396" s="2">
        <v>395</v>
      </c>
      <c r="B396" s="2">
        <v>0</v>
      </c>
      <c r="C396" s="8">
        <f>(data!C396-AVERAGE(data!C:C))/_xlfn.STDEV.S(data!C:C)</f>
        <v>-0.50859307532876041</v>
      </c>
      <c r="D396" s="2">
        <v>0</v>
      </c>
      <c r="E396" s="2">
        <v>0</v>
      </c>
      <c r="F396" s="2">
        <v>1</v>
      </c>
      <c r="G396" s="2">
        <v>0</v>
      </c>
      <c r="H396" s="2">
        <v>0</v>
      </c>
      <c r="I396" s="2">
        <v>0</v>
      </c>
      <c r="J396" s="8">
        <f>(data!J396-AVERAGE(data!J:J))/_xlfn.STDEV.S(data!J:J)</f>
        <v>-1.1508688993495635</v>
      </c>
      <c r="K396" s="2">
        <v>0</v>
      </c>
      <c r="L396" s="2">
        <v>0</v>
      </c>
      <c r="M396" s="2">
        <v>0</v>
      </c>
      <c r="N396" s="2">
        <v>0</v>
      </c>
      <c r="O396" s="2">
        <v>1</v>
      </c>
      <c r="P396" s="2">
        <v>1</v>
      </c>
      <c r="Q396" s="2">
        <v>0</v>
      </c>
      <c r="R396" s="2">
        <v>0</v>
      </c>
      <c r="S396" s="6" cm="1">
        <f t="array" ref="S396">$Y$2+MMULT(C396:R396,$Y$3:$Y$18)</f>
        <v>-10.16495405536585</v>
      </c>
      <c r="T396" s="7">
        <f t="shared" si="13"/>
        <v>3.8494601368096482E-5</v>
      </c>
      <c r="U396" s="3">
        <f t="shared" si="12"/>
        <v>0</v>
      </c>
    </row>
    <row r="397" spans="1:21">
      <c r="A397" s="2">
        <v>396</v>
      </c>
      <c r="B397" s="2">
        <v>1</v>
      </c>
      <c r="C397" s="8">
        <f>(data!C397-AVERAGE(data!C:C))/_xlfn.STDEV.S(data!C:C)</f>
        <v>1.5495854451721145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8">
        <f>(data!J397-AVERAGE(data!J:J))/_xlfn.STDEV.S(data!J:J)</f>
        <v>0.47221309033612496</v>
      </c>
      <c r="K397" s="2">
        <v>0</v>
      </c>
      <c r="L397" s="2">
        <v>0</v>
      </c>
      <c r="M397" s="2">
        <v>0</v>
      </c>
      <c r="N397" s="2">
        <v>1</v>
      </c>
      <c r="O397" s="2">
        <v>1</v>
      </c>
      <c r="P397" s="2">
        <v>1</v>
      </c>
      <c r="Q397" s="2">
        <v>1</v>
      </c>
      <c r="R397" s="2">
        <v>0</v>
      </c>
      <c r="S397" s="6" cm="1">
        <f t="array" ref="S397">$Y$2+MMULT(C397:R397,$Y$3:$Y$18)</f>
        <v>4.1925858193680607</v>
      </c>
      <c r="T397" s="7">
        <f t="shared" si="13"/>
        <v>0.98511766012694579</v>
      </c>
      <c r="U397" s="3">
        <f t="shared" si="12"/>
        <v>1</v>
      </c>
    </row>
    <row r="398" spans="1:21">
      <c r="A398" s="2">
        <v>397</v>
      </c>
      <c r="B398" s="2">
        <v>0</v>
      </c>
      <c r="C398" s="8">
        <f>(data!C398-AVERAGE(data!C:C))/_xlfn.STDEV.S(data!C:C)</f>
        <v>0.49949436328391295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8">
        <f>(data!J398-AVERAGE(data!J:J))/_xlfn.STDEV.S(data!J:J)</f>
        <v>0.69354245256599156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1</v>
      </c>
      <c r="Q398" s="2">
        <v>0</v>
      </c>
      <c r="R398" s="2">
        <v>0</v>
      </c>
      <c r="S398" s="6" cm="1">
        <f t="array" ref="S398">$Y$2+MMULT(C398:R398,$Y$3:$Y$18)</f>
        <v>-4.1627891582278078</v>
      </c>
      <c r="T398" s="7">
        <f t="shared" si="13"/>
        <v>1.5325558306695297E-2</v>
      </c>
      <c r="U398" s="3">
        <f t="shared" si="12"/>
        <v>0</v>
      </c>
    </row>
    <row r="399" spans="1:21">
      <c r="A399" s="2">
        <v>398</v>
      </c>
      <c r="B399" s="2">
        <v>0</v>
      </c>
      <c r="C399" s="8">
        <f>(data!C399-AVERAGE(data!C:C))/_xlfn.STDEV.S(data!C:C)</f>
        <v>0.54149800655944103</v>
      </c>
      <c r="D399" s="2">
        <v>0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8">
        <f>(data!J399-AVERAGE(data!J:J))/_xlfn.STDEV.S(data!J:J)</f>
        <v>-0.48688081265996364</v>
      </c>
      <c r="K399" s="2">
        <v>1</v>
      </c>
      <c r="L399" s="2">
        <v>0</v>
      </c>
      <c r="M399" s="2">
        <v>0</v>
      </c>
      <c r="N399" s="2">
        <v>0</v>
      </c>
      <c r="O399" s="2">
        <v>1</v>
      </c>
      <c r="P399" s="2">
        <v>1</v>
      </c>
      <c r="Q399" s="2">
        <v>0</v>
      </c>
      <c r="R399" s="2">
        <v>0</v>
      </c>
      <c r="S399" s="6" cm="1">
        <f t="array" ref="S399">$Y$2+MMULT(C399:R399,$Y$3:$Y$18)</f>
        <v>-2.7937977379921723</v>
      </c>
      <c r="T399" s="7">
        <f t="shared" si="13"/>
        <v>5.7660256106578281E-2</v>
      </c>
      <c r="U399" s="3">
        <f t="shared" si="12"/>
        <v>0</v>
      </c>
    </row>
    <row r="400" spans="1:21">
      <c r="A400" s="2">
        <v>399</v>
      </c>
      <c r="B400" s="2">
        <v>0</v>
      </c>
      <c r="C400" s="8">
        <f>(data!C400-AVERAGE(data!C:C))/_xlfn.STDEV.S(data!C:C)</f>
        <v>-8.8556642573479852E-2</v>
      </c>
      <c r="D400" s="2">
        <v>0</v>
      </c>
      <c r="E400" s="2">
        <v>0</v>
      </c>
      <c r="F400" s="2">
        <v>1</v>
      </c>
      <c r="G400" s="2">
        <v>0</v>
      </c>
      <c r="H400" s="2">
        <v>1</v>
      </c>
      <c r="I400" s="2">
        <v>0</v>
      </c>
      <c r="J400" s="8">
        <f>(data!J400-AVERAGE(data!J:J))/_xlfn.STDEV.S(data!J:J)</f>
        <v>0.61976599848936942</v>
      </c>
      <c r="K400" s="2">
        <v>0</v>
      </c>
      <c r="L400" s="2">
        <v>0</v>
      </c>
      <c r="M400" s="2">
        <v>0</v>
      </c>
      <c r="N400" s="2">
        <v>0</v>
      </c>
      <c r="O400" s="2">
        <v>1</v>
      </c>
      <c r="P400" s="2">
        <v>1</v>
      </c>
      <c r="Q400" s="2">
        <v>0</v>
      </c>
      <c r="R400" s="2">
        <v>0</v>
      </c>
      <c r="S400" s="6" cm="1">
        <f t="array" ref="S400">$Y$2+MMULT(C400:R400,$Y$3:$Y$18)</f>
        <v>-9.4682489266655523</v>
      </c>
      <c r="T400" s="7">
        <f t="shared" si="13"/>
        <v>7.7260618890382047E-5</v>
      </c>
      <c r="U400" s="3">
        <f t="shared" si="12"/>
        <v>0</v>
      </c>
    </row>
    <row r="401" spans="1:21">
      <c r="A401" s="2">
        <v>400</v>
      </c>
      <c r="B401" s="2">
        <v>1</v>
      </c>
      <c r="C401" s="8">
        <f>(data!C401-AVERAGE(data!C:C))/_xlfn.STDEV.S(data!C:C)</f>
        <v>1.6755963749986986</v>
      </c>
      <c r="D401" s="2">
        <v>1</v>
      </c>
      <c r="E401" s="2">
        <v>1</v>
      </c>
      <c r="F401" s="2">
        <v>0</v>
      </c>
      <c r="G401" s="2">
        <v>1</v>
      </c>
      <c r="H401" s="2">
        <v>0</v>
      </c>
      <c r="I401" s="2">
        <v>0</v>
      </c>
      <c r="J401" s="8">
        <f>(data!J401-AVERAGE(data!J:J))/_xlfn.STDEV.S(data!J:J)</f>
        <v>0.84109536071923596</v>
      </c>
      <c r="K401" s="2">
        <v>0</v>
      </c>
      <c r="L401" s="2">
        <v>0</v>
      </c>
      <c r="M401" s="2">
        <v>1</v>
      </c>
      <c r="N401" s="2">
        <v>1</v>
      </c>
      <c r="O401" s="2">
        <v>1</v>
      </c>
      <c r="P401" s="2">
        <v>1</v>
      </c>
      <c r="Q401" s="2">
        <v>0</v>
      </c>
      <c r="R401" s="2">
        <v>0</v>
      </c>
      <c r="S401" s="6" cm="1">
        <f t="array" ref="S401">$Y$2+MMULT(C401:R401,$Y$3:$Y$18)</f>
        <v>4.9887185404726981</v>
      </c>
      <c r="T401" s="7">
        <f t="shared" si="13"/>
        <v>0.99323173037130141</v>
      </c>
      <c r="U401" s="3">
        <f t="shared" si="12"/>
        <v>1</v>
      </c>
    </row>
    <row r="402" spans="1:21">
      <c r="A402" s="2">
        <v>401</v>
      </c>
      <c r="B402" s="2">
        <v>0</v>
      </c>
      <c r="C402" s="8">
        <f>(data!C402-AVERAGE(data!C:C))/_xlfn.STDEV.S(data!C:C)</f>
        <v>-1.1806513677372095</v>
      </c>
      <c r="D402" s="2">
        <v>1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8">
        <f>(data!J402-AVERAGE(data!J:J))/_xlfn.STDEV.S(data!J:J)</f>
        <v>-0.33932790450671924</v>
      </c>
      <c r="K402" s="2">
        <v>0</v>
      </c>
      <c r="L402" s="2">
        <v>0</v>
      </c>
      <c r="M402" s="2">
        <v>0</v>
      </c>
      <c r="N402" s="2">
        <v>1</v>
      </c>
      <c r="O402" s="2">
        <v>1</v>
      </c>
      <c r="P402" s="2">
        <v>1</v>
      </c>
      <c r="Q402" s="2">
        <v>0</v>
      </c>
      <c r="R402" s="2">
        <v>0</v>
      </c>
      <c r="S402" s="6" cm="1">
        <f t="array" ref="S402">$Y$2+MMULT(C402:R402,$Y$3:$Y$18)</f>
        <v>-13.369834609438623</v>
      </c>
      <c r="T402" s="7">
        <f t="shared" si="13"/>
        <v>1.5615429250390427E-6</v>
      </c>
      <c r="U402" s="3">
        <f t="shared" si="12"/>
        <v>0</v>
      </c>
    </row>
    <row r="403" spans="1:21">
      <c r="A403" s="2">
        <v>402</v>
      </c>
      <c r="B403" s="2">
        <v>0</v>
      </c>
      <c r="C403" s="8">
        <f>(data!C403-AVERAGE(data!C:C))/_xlfn.STDEV.S(data!C:C)</f>
        <v>-1.0126367946350971</v>
      </c>
      <c r="D403" s="2">
        <v>1</v>
      </c>
      <c r="E403" s="2">
        <v>0</v>
      </c>
      <c r="F403" s="2">
        <v>1</v>
      </c>
      <c r="G403" s="2">
        <v>0</v>
      </c>
      <c r="H403" s="2">
        <v>0</v>
      </c>
      <c r="I403" s="2">
        <v>0</v>
      </c>
      <c r="J403" s="8">
        <f>(data!J403-AVERAGE(data!J:J))/_xlfn.STDEV.S(data!J:J)</f>
        <v>0.25088372810625836</v>
      </c>
      <c r="K403" s="2">
        <v>0</v>
      </c>
      <c r="L403" s="2">
        <v>0</v>
      </c>
      <c r="M403" s="2">
        <v>0</v>
      </c>
      <c r="N403" s="2">
        <v>1</v>
      </c>
      <c r="O403" s="2">
        <v>0</v>
      </c>
      <c r="P403" s="2">
        <v>1</v>
      </c>
      <c r="Q403" s="2">
        <v>0</v>
      </c>
      <c r="R403" s="2">
        <v>0</v>
      </c>
      <c r="S403" s="6" cm="1">
        <f t="array" ref="S403">$Y$2+MMULT(C403:R403,$Y$3:$Y$18)</f>
        <v>-14.322761184600799</v>
      </c>
      <c r="T403" s="7">
        <f t="shared" si="13"/>
        <v>6.0214847444916781E-7</v>
      </c>
      <c r="U403" s="3">
        <f t="shared" si="12"/>
        <v>0</v>
      </c>
    </row>
    <row r="404" spans="1:21">
      <c r="A404" s="2">
        <v>403</v>
      </c>
      <c r="B404" s="2">
        <v>0</v>
      </c>
      <c r="C404" s="8">
        <f>(data!C404-AVERAGE(data!C:C))/_xlfn.STDEV.S(data!C:C)</f>
        <v>0.62550529311049718</v>
      </c>
      <c r="D404" s="2">
        <v>1</v>
      </c>
      <c r="E404" s="2">
        <v>1</v>
      </c>
      <c r="F404" s="2">
        <v>0</v>
      </c>
      <c r="G404" s="2">
        <v>1</v>
      </c>
      <c r="H404" s="2">
        <v>0</v>
      </c>
      <c r="I404" s="2">
        <v>0</v>
      </c>
      <c r="J404" s="8">
        <f>(data!J404-AVERAGE(data!J:J))/_xlfn.STDEV.S(data!J:J)</f>
        <v>-0.11799854227685262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>
        <v>1</v>
      </c>
      <c r="Q404" s="2">
        <v>0</v>
      </c>
      <c r="R404" s="2">
        <v>0</v>
      </c>
      <c r="S404" s="6" cm="1">
        <f t="array" ref="S404">$Y$2+MMULT(C404:R404,$Y$3:$Y$18)</f>
        <v>-2.4346622042460591</v>
      </c>
      <c r="T404" s="7">
        <f t="shared" si="13"/>
        <v>8.0567432238903808E-2</v>
      </c>
      <c r="U404" s="3">
        <f t="shared" si="12"/>
        <v>0</v>
      </c>
    </row>
    <row r="405" spans="1:21">
      <c r="A405" s="2">
        <v>404</v>
      </c>
      <c r="B405" s="2">
        <v>0</v>
      </c>
      <c r="C405" s="8">
        <f>(data!C405-AVERAGE(data!C:C))/_xlfn.STDEV.S(data!C:C)</f>
        <v>-1.1386477244616813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8">
        <f>(data!J405-AVERAGE(data!J:J))/_xlfn.STDEV.S(data!J:J)</f>
        <v>-0.78198662896645244</v>
      </c>
      <c r="K405" s="2">
        <v>0</v>
      </c>
      <c r="L405" s="2">
        <v>1</v>
      </c>
      <c r="M405" s="2">
        <v>0</v>
      </c>
      <c r="N405" s="2">
        <v>1</v>
      </c>
      <c r="O405" s="2">
        <v>1</v>
      </c>
      <c r="P405" s="2">
        <v>1</v>
      </c>
      <c r="Q405" s="2">
        <v>0</v>
      </c>
      <c r="R405" s="2">
        <v>0</v>
      </c>
      <c r="S405" s="6" cm="1">
        <f t="array" ref="S405">$Y$2+MMULT(C405:R405,$Y$3:$Y$18)</f>
        <v>-14.218501958220829</v>
      </c>
      <c r="T405" s="7">
        <f t="shared" si="13"/>
        <v>6.6831740001242305E-7</v>
      </c>
      <c r="U405" s="3">
        <f t="shared" si="12"/>
        <v>0</v>
      </c>
    </row>
    <row r="406" spans="1:21">
      <c r="A406" s="2">
        <v>405</v>
      </c>
      <c r="B406" s="2">
        <v>0</v>
      </c>
      <c r="C406" s="8">
        <f>(data!C406-AVERAGE(data!C:C))/_xlfn.STDEV.S(data!C:C)</f>
        <v>0.28947614690627266</v>
      </c>
      <c r="D406" s="2">
        <v>0</v>
      </c>
      <c r="E406" s="2">
        <v>1</v>
      </c>
      <c r="F406" s="2">
        <v>0</v>
      </c>
      <c r="G406" s="2">
        <v>0</v>
      </c>
      <c r="H406" s="2">
        <v>0</v>
      </c>
      <c r="I406" s="2">
        <v>0</v>
      </c>
      <c r="J406" s="8">
        <f>(data!J406-AVERAGE(data!J:J))/_xlfn.STDEV.S(data!J:J)</f>
        <v>0.84109536071923596</v>
      </c>
      <c r="K406" s="2">
        <v>1</v>
      </c>
      <c r="L406" s="2">
        <v>0</v>
      </c>
      <c r="M406" s="2">
        <v>1</v>
      </c>
      <c r="N406" s="2">
        <v>1</v>
      </c>
      <c r="O406" s="2">
        <v>1</v>
      </c>
      <c r="P406" s="2">
        <v>1</v>
      </c>
      <c r="Q406" s="2">
        <v>0</v>
      </c>
      <c r="R406" s="2">
        <v>0</v>
      </c>
      <c r="S406" s="6" cm="1">
        <f t="array" ref="S406">$Y$2+MMULT(C406:R406,$Y$3:$Y$18)</f>
        <v>-2.4734619633310833</v>
      </c>
      <c r="T406" s="7">
        <f t="shared" si="13"/>
        <v>7.7739662361077752E-2</v>
      </c>
      <c r="U406" s="3">
        <f t="shared" si="12"/>
        <v>0</v>
      </c>
    </row>
    <row r="407" spans="1:21">
      <c r="A407" s="2">
        <v>406</v>
      </c>
      <c r="B407" s="2">
        <v>1</v>
      </c>
      <c r="C407" s="8">
        <f>(data!C407-AVERAGE(data!C:C))/_xlfn.STDEV.S(data!C:C)</f>
        <v>1.4235745153455301</v>
      </c>
      <c r="D407" s="2">
        <v>0</v>
      </c>
      <c r="E407" s="2">
        <v>1</v>
      </c>
      <c r="F407" s="2">
        <v>1</v>
      </c>
      <c r="G407" s="2">
        <v>1</v>
      </c>
      <c r="H407" s="2">
        <v>0</v>
      </c>
      <c r="I407" s="2">
        <v>0</v>
      </c>
      <c r="J407" s="8">
        <f>(data!J407-AVERAGE(data!J:J))/_xlfn.STDEV.S(data!J:J)</f>
        <v>0.91487181479585822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>
        <v>1</v>
      </c>
      <c r="Q407" s="2">
        <v>0</v>
      </c>
      <c r="R407" s="2">
        <v>0</v>
      </c>
      <c r="S407" s="6" cm="1">
        <f t="array" ref="S407">$Y$2+MMULT(C407:R407,$Y$3:$Y$18)</f>
        <v>2.1532535239835937</v>
      </c>
      <c r="T407" s="7">
        <f t="shared" si="13"/>
        <v>0.89597241524875904</v>
      </c>
      <c r="U407" s="3">
        <f t="shared" si="12"/>
        <v>1</v>
      </c>
    </row>
    <row r="408" spans="1:21">
      <c r="A408" s="2">
        <v>407</v>
      </c>
      <c r="B408" s="2">
        <v>0</v>
      </c>
      <c r="C408" s="8">
        <f>(data!C408-AVERAGE(data!C:C))/_xlfn.STDEV.S(data!C:C)</f>
        <v>-0.59260036187981657</v>
      </c>
      <c r="D408" s="2">
        <v>1</v>
      </c>
      <c r="E408" s="2">
        <v>0</v>
      </c>
      <c r="F408" s="2">
        <v>0</v>
      </c>
      <c r="G408" s="2">
        <v>1</v>
      </c>
      <c r="H408" s="2">
        <v>0</v>
      </c>
      <c r="I408" s="2">
        <v>0</v>
      </c>
      <c r="J408" s="8">
        <f>(data!J408-AVERAGE(data!J:J))/_xlfn.STDEV.S(data!J:J)</f>
        <v>-0.56065726673658578</v>
      </c>
      <c r="K408" s="2">
        <v>0</v>
      </c>
      <c r="L408" s="2">
        <v>1</v>
      </c>
      <c r="M408" s="2">
        <v>0</v>
      </c>
      <c r="N408" s="2">
        <v>1</v>
      </c>
      <c r="O408" s="2">
        <v>1</v>
      </c>
      <c r="P408" s="2">
        <v>1</v>
      </c>
      <c r="Q408" s="2">
        <v>0</v>
      </c>
      <c r="R408" s="2">
        <v>0</v>
      </c>
      <c r="S408" s="6" cm="1">
        <f t="array" ref="S408">$Y$2+MMULT(C408:R408,$Y$3:$Y$18)</f>
        <v>-11.570512252681864</v>
      </c>
      <c r="T408" s="7">
        <f t="shared" si="13"/>
        <v>9.4403104373331369E-6</v>
      </c>
      <c r="U408" s="3">
        <f t="shared" si="12"/>
        <v>0</v>
      </c>
    </row>
    <row r="409" spans="1:21">
      <c r="A409" s="2">
        <v>408</v>
      </c>
      <c r="B409" s="2">
        <v>0</v>
      </c>
      <c r="C409" s="8">
        <f>(data!C409-AVERAGE(data!C:C))/_xlfn.STDEV.S(data!C:C)</f>
        <v>-0.97063315135956907</v>
      </c>
      <c r="D409" s="2">
        <v>1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8">
        <f>(data!J409-AVERAGE(data!J:J))/_xlfn.STDEV.S(data!J:J)</f>
        <v>0.10333081995301398</v>
      </c>
      <c r="K409" s="2">
        <v>0</v>
      </c>
      <c r="L409" s="2">
        <v>1</v>
      </c>
      <c r="M409" s="2">
        <v>0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  <c r="S409" s="6" cm="1">
        <f t="array" ref="S409">$Y$2+MMULT(C409:R409,$Y$3:$Y$18)</f>
        <v>-9.2731332667999204</v>
      </c>
      <c r="T409" s="7">
        <f t="shared" si="13"/>
        <v>9.3904976415357396E-5</v>
      </c>
      <c r="U409" s="3">
        <f t="shared" si="12"/>
        <v>0</v>
      </c>
    </row>
    <row r="410" spans="1:21">
      <c r="A410" s="2">
        <v>409</v>
      </c>
      <c r="B410" s="2">
        <v>1</v>
      </c>
      <c r="C410" s="8">
        <f>(data!C410-AVERAGE(data!C:C))/_xlfn.STDEV.S(data!C:C)</f>
        <v>1.6755963749986986</v>
      </c>
      <c r="D410" s="2">
        <v>0</v>
      </c>
      <c r="E410" s="2">
        <v>1</v>
      </c>
      <c r="F410" s="2">
        <v>1</v>
      </c>
      <c r="G410" s="2">
        <v>0</v>
      </c>
      <c r="H410" s="2">
        <v>0</v>
      </c>
      <c r="I410" s="2">
        <v>0</v>
      </c>
      <c r="J410" s="8">
        <f>(data!J410-AVERAGE(data!J:J))/_xlfn.STDEV.S(data!J:J)</f>
        <v>0.32466018218288056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1</v>
      </c>
      <c r="Q410" s="2">
        <v>0</v>
      </c>
      <c r="R410" s="2">
        <v>0</v>
      </c>
      <c r="S410" s="6" cm="1">
        <f t="array" ref="S410">$Y$2+MMULT(C410:R410,$Y$3:$Y$18)</f>
        <v>4.0429653679323749</v>
      </c>
      <c r="T410" s="7">
        <f t="shared" si="13"/>
        <v>0.98275716513154776</v>
      </c>
      <c r="U410" s="3">
        <f t="shared" si="12"/>
        <v>1</v>
      </c>
    </row>
    <row r="411" spans="1:21">
      <c r="A411" s="2">
        <v>410</v>
      </c>
      <c r="B411" s="2">
        <v>0</v>
      </c>
      <c r="C411" s="8">
        <f>(data!C411-AVERAGE(data!C:C))/_xlfn.STDEV.S(data!C:C)</f>
        <v>-0.46658943205323239</v>
      </c>
      <c r="D411" s="2">
        <v>1</v>
      </c>
      <c r="E411" s="2">
        <v>0</v>
      </c>
      <c r="F411" s="2">
        <v>0</v>
      </c>
      <c r="G411" s="2">
        <v>1</v>
      </c>
      <c r="H411" s="2">
        <v>0</v>
      </c>
      <c r="I411" s="2">
        <v>0</v>
      </c>
      <c r="J411" s="8">
        <f>(data!J411-AVERAGE(data!J:J))/_xlfn.STDEV.S(data!J:J)</f>
        <v>-0.11799854227685262</v>
      </c>
      <c r="K411" s="2">
        <v>0</v>
      </c>
      <c r="L411" s="2">
        <v>0</v>
      </c>
      <c r="M411" s="2">
        <v>0</v>
      </c>
      <c r="N411" s="2">
        <v>0</v>
      </c>
      <c r="O411" s="2">
        <v>1</v>
      </c>
      <c r="P411" s="2">
        <v>1</v>
      </c>
      <c r="Q411" s="2">
        <v>0</v>
      </c>
      <c r="R411" s="2">
        <v>0</v>
      </c>
      <c r="S411" s="6" cm="1">
        <f t="array" ref="S411">$Y$2+MMULT(C411:R411,$Y$3:$Y$18)</f>
        <v>-9.2583855627492593</v>
      </c>
      <c r="T411" s="7">
        <f t="shared" si="13"/>
        <v>9.529998856637932E-5</v>
      </c>
      <c r="U411" s="3">
        <f t="shared" si="12"/>
        <v>0</v>
      </c>
    </row>
    <row r="412" spans="1:21">
      <c r="A412" s="2">
        <v>411</v>
      </c>
      <c r="B412" s="2">
        <v>0</v>
      </c>
      <c r="C412" s="8">
        <f>(data!C412-AVERAGE(data!C:C))/_xlfn.STDEV.S(data!C:C)</f>
        <v>1.4655781586210583</v>
      </c>
      <c r="D412" s="2">
        <v>0</v>
      </c>
      <c r="E412" s="2">
        <v>0</v>
      </c>
      <c r="F412" s="2">
        <v>0</v>
      </c>
      <c r="G412" s="2">
        <v>1</v>
      </c>
      <c r="H412" s="2">
        <v>0</v>
      </c>
      <c r="I412" s="2">
        <v>0</v>
      </c>
      <c r="J412" s="8">
        <f>(data!J412-AVERAGE(data!J:J))/_xlfn.STDEV.S(data!J:J)</f>
        <v>-0.11799854227685262</v>
      </c>
      <c r="K412" s="2">
        <v>0</v>
      </c>
      <c r="L412" s="2">
        <v>0</v>
      </c>
      <c r="M412" s="2">
        <v>0</v>
      </c>
      <c r="N412" s="2">
        <v>0</v>
      </c>
      <c r="O412" s="2">
        <v>1</v>
      </c>
      <c r="P412" s="2">
        <v>1</v>
      </c>
      <c r="Q412" s="2">
        <v>0</v>
      </c>
      <c r="R412" s="2">
        <v>0</v>
      </c>
      <c r="S412" s="6" cm="1">
        <f t="array" ref="S412">$Y$2+MMULT(C412:R412,$Y$3:$Y$18)</f>
        <v>2.0782264527753469</v>
      </c>
      <c r="T412" s="7">
        <f t="shared" si="13"/>
        <v>0.88876882338787078</v>
      </c>
      <c r="U412" s="3">
        <f t="shared" si="12"/>
        <v>1</v>
      </c>
    </row>
    <row r="413" spans="1:21">
      <c r="A413" s="2">
        <v>412</v>
      </c>
      <c r="B413" s="2">
        <v>0</v>
      </c>
      <c r="C413" s="8">
        <f>(data!C413-AVERAGE(data!C:C))/_xlfn.STDEV.S(data!C:C)</f>
        <v>0.28947614690627266</v>
      </c>
      <c r="D413" s="2">
        <v>0</v>
      </c>
      <c r="E413" s="2">
        <v>0</v>
      </c>
      <c r="F413" s="2">
        <v>1</v>
      </c>
      <c r="G413" s="2">
        <v>1</v>
      </c>
      <c r="H413" s="2">
        <v>0</v>
      </c>
      <c r="I413" s="2">
        <v>0</v>
      </c>
      <c r="J413" s="8">
        <f>(data!J413-AVERAGE(data!J:J))/_xlfn.STDEV.S(data!J:J)</f>
        <v>-1.0770924452729411</v>
      </c>
      <c r="K413" s="2">
        <v>0</v>
      </c>
      <c r="L413" s="2">
        <v>0</v>
      </c>
      <c r="M413" s="2">
        <v>0</v>
      </c>
      <c r="N413" s="2">
        <v>0</v>
      </c>
      <c r="O413" s="2">
        <v>1</v>
      </c>
      <c r="P413" s="2">
        <v>1</v>
      </c>
      <c r="Q413" s="2">
        <v>0</v>
      </c>
      <c r="R413" s="2">
        <v>0</v>
      </c>
      <c r="S413" s="6" cm="1">
        <f t="array" ref="S413">$Y$2+MMULT(C413:R413,$Y$3:$Y$18)</f>
        <v>-6.1024327851336846</v>
      </c>
      <c r="T413" s="7">
        <f t="shared" si="13"/>
        <v>2.2324230725816407E-3</v>
      </c>
      <c r="U413" s="3">
        <f t="shared" si="12"/>
        <v>0</v>
      </c>
    </row>
    <row r="414" spans="1:21">
      <c r="A414" s="2">
        <v>413</v>
      </c>
      <c r="B414" s="2">
        <v>0</v>
      </c>
      <c r="C414" s="8">
        <f>(data!C414-AVERAGE(data!C:C))/_xlfn.STDEV.S(data!C:C)</f>
        <v>-1.1806513677372095</v>
      </c>
      <c r="D414" s="2">
        <v>1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8">
        <f>(data!J414-AVERAGE(data!J:J))/_xlfn.STDEV.S(data!J:J)</f>
        <v>-1.003315991196319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1</v>
      </c>
      <c r="Q414" s="2">
        <v>0</v>
      </c>
      <c r="R414" s="2">
        <v>1</v>
      </c>
      <c r="S414" s="6" cm="1">
        <f t="array" ref="S414">$Y$2+MMULT(C414:R414,$Y$3:$Y$18)</f>
        <v>-14.784568108085809</v>
      </c>
      <c r="T414" s="7">
        <f t="shared" si="13"/>
        <v>3.7944032929747876E-7</v>
      </c>
      <c r="U414" s="3">
        <f t="shared" si="12"/>
        <v>0</v>
      </c>
    </row>
    <row r="415" spans="1:21">
      <c r="A415" s="2">
        <v>414</v>
      </c>
      <c r="B415" s="2">
        <v>1</v>
      </c>
      <c r="C415" s="8">
        <f>(data!C415-AVERAGE(data!C:C))/_xlfn.STDEV.S(data!C:C)</f>
        <v>1.6755963749986986</v>
      </c>
      <c r="D415" s="2">
        <v>0</v>
      </c>
      <c r="E415" s="2">
        <v>1</v>
      </c>
      <c r="F415" s="2">
        <v>1</v>
      </c>
      <c r="G415" s="2">
        <v>0</v>
      </c>
      <c r="H415" s="2">
        <v>0</v>
      </c>
      <c r="I415" s="2">
        <v>0</v>
      </c>
      <c r="J415" s="8">
        <f>(data!J415-AVERAGE(data!J:J))/_xlfn.STDEV.S(data!J:J)</f>
        <v>1.1362011770257248</v>
      </c>
      <c r="K415" s="2">
        <v>0</v>
      </c>
      <c r="L415" s="2">
        <v>1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  <c r="R415" s="2">
        <v>0</v>
      </c>
      <c r="S415" s="6" cm="1">
        <f t="array" ref="S415">$Y$2+MMULT(C415:R415,$Y$3:$Y$18)</f>
        <v>5.2716991306239045</v>
      </c>
      <c r="T415" s="7">
        <f t="shared" si="13"/>
        <v>0.99489135394839123</v>
      </c>
      <c r="U415" s="3">
        <f t="shared" si="12"/>
        <v>1</v>
      </c>
    </row>
    <row r="416" spans="1:21">
      <c r="A416" s="2">
        <v>415</v>
      </c>
      <c r="B416" s="2">
        <v>0</v>
      </c>
      <c r="C416" s="8">
        <f>(data!C416-AVERAGE(data!C:C))/_xlfn.STDEV.S(data!C:C)</f>
        <v>-1.1806513677372095</v>
      </c>
      <c r="D416" s="2">
        <v>1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8">
        <f>(data!J416-AVERAGE(data!J:J))/_xlfn.STDEV.S(data!J:J)</f>
        <v>-0.11799854227685262</v>
      </c>
      <c r="K416" s="2">
        <v>0</v>
      </c>
      <c r="L416" s="2">
        <v>1</v>
      </c>
      <c r="M416" s="2">
        <v>0</v>
      </c>
      <c r="N416" s="2">
        <v>1</v>
      </c>
      <c r="O416" s="2">
        <v>1</v>
      </c>
      <c r="P416" s="2">
        <v>1</v>
      </c>
      <c r="Q416" s="2">
        <v>0</v>
      </c>
      <c r="R416" s="2">
        <v>0</v>
      </c>
      <c r="S416" s="6" cm="1">
        <f t="array" ref="S416">$Y$2+MMULT(C416:R416,$Y$3:$Y$18)</f>
        <v>-14.074971853934386</v>
      </c>
      <c r="T416" s="7">
        <f t="shared" si="13"/>
        <v>7.7146647113957639E-7</v>
      </c>
      <c r="U416" s="3">
        <f t="shared" si="12"/>
        <v>0</v>
      </c>
    </row>
    <row r="417" spans="1:21">
      <c r="A417" s="2">
        <v>416</v>
      </c>
      <c r="B417" s="2">
        <v>0</v>
      </c>
      <c r="C417" s="8">
        <f>(data!C417-AVERAGE(data!C:C))/_xlfn.STDEV.S(data!C:C)</f>
        <v>1.6755963749986986</v>
      </c>
      <c r="D417" s="2">
        <v>0</v>
      </c>
      <c r="E417" s="2">
        <v>1</v>
      </c>
      <c r="F417" s="2">
        <v>1</v>
      </c>
      <c r="G417" s="2">
        <v>1</v>
      </c>
      <c r="H417" s="2">
        <v>0</v>
      </c>
      <c r="I417" s="2">
        <v>0</v>
      </c>
      <c r="J417" s="8">
        <f>(data!J417-AVERAGE(data!J:J))/_xlfn.STDEV.S(data!J:J)</f>
        <v>-0.85576308304307458</v>
      </c>
      <c r="K417" s="2">
        <v>0</v>
      </c>
      <c r="L417" s="2">
        <v>0</v>
      </c>
      <c r="M417" s="2">
        <v>1</v>
      </c>
      <c r="N417" s="2">
        <v>1</v>
      </c>
      <c r="O417" s="2">
        <v>1</v>
      </c>
      <c r="P417" s="2">
        <v>1</v>
      </c>
      <c r="Q417" s="2">
        <v>0</v>
      </c>
      <c r="R417" s="2">
        <v>0</v>
      </c>
      <c r="S417" s="6" cm="1">
        <f t="array" ref="S417">$Y$2+MMULT(C417:R417,$Y$3:$Y$18)</f>
        <v>3.2008574884973271</v>
      </c>
      <c r="T417" s="7">
        <f t="shared" si="13"/>
        <v>0.96086653326396387</v>
      </c>
      <c r="U417" s="3">
        <f t="shared" si="12"/>
        <v>1</v>
      </c>
    </row>
    <row r="418" spans="1:21">
      <c r="A418" s="2">
        <v>417</v>
      </c>
      <c r="B418" s="2">
        <v>0</v>
      </c>
      <c r="C418" s="8">
        <f>(data!C418-AVERAGE(data!C:C))/_xlfn.STDEV.S(data!C:C)</f>
        <v>-1.3066622975637936</v>
      </c>
      <c r="D418" s="2">
        <v>1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8">
        <f>(data!J418-AVERAGE(data!J:J))/_xlfn.STDEV.S(data!J:J)</f>
        <v>0.17710727402963619</v>
      </c>
      <c r="K418" s="2">
        <v>0</v>
      </c>
      <c r="L418" s="2">
        <v>0</v>
      </c>
      <c r="M418" s="2">
        <v>0</v>
      </c>
      <c r="N418" s="2">
        <v>1</v>
      </c>
      <c r="O418" s="2">
        <v>1</v>
      </c>
      <c r="P418" s="2">
        <v>1</v>
      </c>
      <c r="Q418" s="2">
        <v>0</v>
      </c>
      <c r="R418" s="2">
        <v>0</v>
      </c>
      <c r="S418" s="6" cm="1">
        <f t="array" ref="S418">$Y$2+MMULT(C418:R418,$Y$3:$Y$18)</f>
        <v>-13.814518215968471</v>
      </c>
      <c r="T418" s="7">
        <f t="shared" si="13"/>
        <v>1.0009918325443767E-6</v>
      </c>
      <c r="U418" s="3">
        <f t="shared" si="12"/>
        <v>0</v>
      </c>
    </row>
    <row r="419" spans="1:21">
      <c r="A419" s="2">
        <v>418</v>
      </c>
      <c r="B419" s="2">
        <v>1</v>
      </c>
      <c r="C419" s="8">
        <f>(data!C419-AVERAGE(data!C:C))/_xlfn.STDEV.S(data!C:C)</f>
        <v>1.6755963749986986</v>
      </c>
      <c r="D419" s="2">
        <v>1</v>
      </c>
      <c r="E419" s="2">
        <v>0</v>
      </c>
      <c r="F419" s="2">
        <v>1</v>
      </c>
      <c r="G419" s="2">
        <v>1</v>
      </c>
      <c r="H419" s="2">
        <v>0</v>
      </c>
      <c r="I419" s="2">
        <v>0</v>
      </c>
      <c r="J419" s="8">
        <f>(data!J419-AVERAGE(data!J:J))/_xlfn.STDEV.S(data!J:J)</f>
        <v>0.25088372810625836</v>
      </c>
      <c r="K419" s="2">
        <v>0</v>
      </c>
      <c r="L419" s="2">
        <v>0</v>
      </c>
      <c r="M419" s="2">
        <v>1</v>
      </c>
      <c r="N419" s="2">
        <v>1</v>
      </c>
      <c r="O419" s="2">
        <v>1</v>
      </c>
      <c r="P419" s="2">
        <v>1</v>
      </c>
      <c r="Q419" s="2">
        <v>0</v>
      </c>
      <c r="R419" s="2">
        <v>0</v>
      </c>
      <c r="S419" s="6" cm="1">
        <f t="array" ref="S419">$Y$2+MMULT(C419:R419,$Y$3:$Y$18)</f>
        <v>4.1604595262911488</v>
      </c>
      <c r="T419" s="7">
        <f t="shared" si="13"/>
        <v>0.984639246226513</v>
      </c>
      <c r="U419" s="3">
        <f t="shared" si="12"/>
        <v>1</v>
      </c>
    </row>
    <row r="420" spans="1:21">
      <c r="A420" s="2">
        <v>419</v>
      </c>
      <c r="B420" s="2">
        <v>0</v>
      </c>
      <c r="C420" s="8">
        <f>(data!C420-AVERAGE(data!C:C))/_xlfn.STDEV.S(data!C:C)</f>
        <v>0.20546886035521655</v>
      </c>
      <c r="D420" s="2">
        <v>1</v>
      </c>
      <c r="E420" s="2">
        <v>0</v>
      </c>
      <c r="F420" s="2">
        <v>0</v>
      </c>
      <c r="G420" s="2">
        <v>1</v>
      </c>
      <c r="H420" s="2">
        <v>0</v>
      </c>
      <c r="I420" s="2">
        <v>0</v>
      </c>
      <c r="J420" s="8">
        <f>(data!J420-AVERAGE(data!J:J))/_xlfn.STDEV.S(data!J:J)</f>
        <v>-0.48688081265996364</v>
      </c>
      <c r="K420" s="2">
        <v>0</v>
      </c>
      <c r="L420" s="2">
        <v>1</v>
      </c>
      <c r="M420" s="2">
        <v>1</v>
      </c>
      <c r="N420" s="2">
        <v>1</v>
      </c>
      <c r="O420" s="2">
        <v>1</v>
      </c>
      <c r="P420" s="2">
        <v>1</v>
      </c>
      <c r="Q420" s="2">
        <v>0</v>
      </c>
      <c r="R420" s="2">
        <v>0</v>
      </c>
      <c r="S420" s="6" cm="1">
        <f t="array" ref="S420">$Y$2+MMULT(C420:R420,$Y$3:$Y$18)</f>
        <v>-5.2734936201387619</v>
      </c>
      <c r="T420" s="7">
        <f t="shared" si="13"/>
        <v>5.0995335679316659E-3</v>
      </c>
      <c r="U420" s="3">
        <f t="shared" si="12"/>
        <v>0</v>
      </c>
    </row>
    <row r="421" spans="1:21">
      <c r="A421" s="2">
        <v>420</v>
      </c>
      <c r="B421" s="2">
        <v>0</v>
      </c>
      <c r="C421" s="8">
        <f>(data!C421-AVERAGE(data!C:C))/_xlfn.STDEV.S(data!C:C)</f>
        <v>1.6755963749986986</v>
      </c>
      <c r="D421" s="2">
        <v>0</v>
      </c>
      <c r="E421" s="2">
        <v>1</v>
      </c>
      <c r="F421" s="2">
        <v>1</v>
      </c>
      <c r="G421" s="2">
        <v>1</v>
      </c>
      <c r="H421" s="2">
        <v>0</v>
      </c>
      <c r="I421" s="2">
        <v>0</v>
      </c>
      <c r="J421" s="8">
        <f>(data!J421-AVERAGE(data!J:J))/_xlfn.STDEV.S(data!J:J)</f>
        <v>1.3575305392555914</v>
      </c>
      <c r="K421" s="2">
        <v>0</v>
      </c>
      <c r="L421" s="2">
        <v>0</v>
      </c>
      <c r="M421" s="2">
        <v>1</v>
      </c>
      <c r="N421" s="2">
        <v>1</v>
      </c>
      <c r="O421" s="2">
        <v>0</v>
      </c>
      <c r="P421" s="2">
        <v>1</v>
      </c>
      <c r="Q421" s="2">
        <v>0</v>
      </c>
      <c r="R421" s="2">
        <v>0</v>
      </c>
      <c r="S421" s="6" cm="1">
        <f t="array" ref="S421">$Y$2+MMULT(C421:R421,$Y$3:$Y$18)</f>
        <v>2.8114823129313482</v>
      </c>
      <c r="T421" s="7">
        <f t="shared" si="13"/>
        <v>0.94329316196954394</v>
      </c>
      <c r="U421" s="3">
        <f t="shared" si="12"/>
        <v>1</v>
      </c>
    </row>
    <row r="422" spans="1:21">
      <c r="A422" s="2">
        <v>421</v>
      </c>
      <c r="B422" s="2">
        <v>0</v>
      </c>
      <c r="C422" s="8">
        <f>(data!C422-AVERAGE(data!C:C))/_xlfn.STDEV.S(data!C:C)</f>
        <v>-4.6552999297951793E-2</v>
      </c>
      <c r="D422" s="2">
        <v>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8">
        <f>(data!J422-AVERAGE(data!J:J))/_xlfn.STDEV.S(data!J:J)</f>
        <v>-0.85576308304307458</v>
      </c>
      <c r="K422" s="2">
        <v>0</v>
      </c>
      <c r="L422" s="2">
        <v>1</v>
      </c>
      <c r="M422" s="2">
        <v>0</v>
      </c>
      <c r="N422" s="2">
        <v>0</v>
      </c>
      <c r="O422" s="2">
        <v>0</v>
      </c>
      <c r="P422" s="2">
        <v>1</v>
      </c>
      <c r="Q422" s="2">
        <v>1</v>
      </c>
      <c r="R422" s="2">
        <v>0</v>
      </c>
      <c r="S422" s="6" cm="1">
        <f t="array" ref="S422">$Y$2+MMULT(C422:R422,$Y$3:$Y$18)</f>
        <v>-8.0056551317555478</v>
      </c>
      <c r="T422" s="7">
        <f t="shared" si="13"/>
        <v>3.3345966414000312E-4</v>
      </c>
      <c r="U422" s="3">
        <f t="shared" si="12"/>
        <v>0</v>
      </c>
    </row>
    <row r="423" spans="1:21">
      <c r="A423" s="2">
        <v>422</v>
      </c>
      <c r="B423" s="2">
        <v>1</v>
      </c>
      <c r="C423" s="8">
        <f>(data!C423-AVERAGE(data!C:C))/_xlfn.STDEV.S(data!C:C)</f>
        <v>1.3395672287944742</v>
      </c>
      <c r="D423" s="2">
        <v>0</v>
      </c>
      <c r="E423" s="2">
        <v>1</v>
      </c>
      <c r="F423" s="2">
        <v>1</v>
      </c>
      <c r="G423" s="2">
        <v>1</v>
      </c>
      <c r="H423" s="2">
        <v>0</v>
      </c>
      <c r="I423" s="2">
        <v>0</v>
      </c>
      <c r="J423" s="8">
        <f>(data!J423-AVERAGE(data!J:J))/_xlfn.STDEV.S(data!J:J)</f>
        <v>0.84109536071923596</v>
      </c>
      <c r="K423" s="2">
        <v>1</v>
      </c>
      <c r="L423" s="2">
        <v>0</v>
      </c>
      <c r="M423" s="2">
        <v>1</v>
      </c>
      <c r="N423" s="2">
        <v>1</v>
      </c>
      <c r="O423" s="2">
        <v>1</v>
      </c>
      <c r="P423" s="2">
        <v>1</v>
      </c>
      <c r="Q423" s="2">
        <v>0</v>
      </c>
      <c r="R423" s="2">
        <v>0</v>
      </c>
      <c r="S423" s="6" cm="1">
        <f t="array" ref="S423">$Y$2+MMULT(C423:R423,$Y$3:$Y$18)</f>
        <v>2.4452318415409007</v>
      </c>
      <c r="T423" s="7">
        <f t="shared" si="13"/>
        <v>0.92021206464570071</v>
      </c>
      <c r="U423" s="3">
        <f t="shared" si="12"/>
        <v>1</v>
      </c>
    </row>
    <row r="424" spans="1:21">
      <c r="A424" s="2">
        <v>423</v>
      </c>
      <c r="B424" s="2">
        <v>0</v>
      </c>
      <c r="C424" s="8">
        <f>(data!C424-AVERAGE(data!C:C))/_xlfn.STDEV.S(data!C:C)</f>
        <v>0.62550529311049718</v>
      </c>
      <c r="D424" s="2">
        <v>1</v>
      </c>
      <c r="E424" s="2">
        <v>1</v>
      </c>
      <c r="F424" s="2">
        <v>0</v>
      </c>
      <c r="G424" s="2">
        <v>1</v>
      </c>
      <c r="H424" s="2">
        <v>0</v>
      </c>
      <c r="I424" s="2">
        <v>0</v>
      </c>
      <c r="J424" s="8">
        <f>(data!J424-AVERAGE(data!J:J))/_xlfn.STDEV.S(data!J:J)</f>
        <v>0.47221309033612496</v>
      </c>
      <c r="K424" s="2">
        <v>1</v>
      </c>
      <c r="L424" s="2">
        <v>0</v>
      </c>
      <c r="M424" s="2">
        <v>1</v>
      </c>
      <c r="N424" s="2">
        <v>1</v>
      </c>
      <c r="O424" s="2">
        <v>1</v>
      </c>
      <c r="P424" s="2">
        <v>1</v>
      </c>
      <c r="Q424" s="2">
        <v>0</v>
      </c>
      <c r="R424" s="2">
        <v>1</v>
      </c>
      <c r="S424" s="6" cm="1">
        <f t="array" ref="S424">$Y$2+MMULT(C424:R424,$Y$3:$Y$18)</f>
        <v>-1.0287851877542069</v>
      </c>
      <c r="T424" s="7">
        <f t="shared" si="13"/>
        <v>0.26331968863354682</v>
      </c>
      <c r="U424" s="3">
        <f t="shared" si="12"/>
        <v>0</v>
      </c>
    </row>
    <row r="425" spans="1:21">
      <c r="A425" s="2">
        <v>424</v>
      </c>
      <c r="B425" s="2">
        <v>0</v>
      </c>
      <c r="C425" s="8">
        <f>(data!C425-AVERAGE(data!C:C))/_xlfn.STDEV.S(data!C:C)</f>
        <v>-1.1386477244616813</v>
      </c>
      <c r="D425" s="2">
        <v>1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8">
        <f>(data!J425-AVERAGE(data!J:J))/_xlfn.STDEV.S(data!J:J)</f>
        <v>0.84109536071923596</v>
      </c>
      <c r="K425" s="2">
        <v>1</v>
      </c>
      <c r="L425" s="2">
        <v>0</v>
      </c>
      <c r="M425" s="2">
        <v>1</v>
      </c>
      <c r="N425" s="2">
        <v>1</v>
      </c>
      <c r="O425" s="2">
        <v>0</v>
      </c>
      <c r="P425" s="2">
        <v>0</v>
      </c>
      <c r="Q425" s="2">
        <v>0</v>
      </c>
      <c r="R425" s="2">
        <v>0</v>
      </c>
      <c r="S425" s="6" cm="1">
        <f t="array" ref="S425">$Y$2+MMULT(C425:R425,$Y$3:$Y$18)</f>
        <v>-9.0894104182085442</v>
      </c>
      <c r="T425" s="7">
        <f t="shared" si="13"/>
        <v>1.1284185120092848E-4</v>
      </c>
      <c r="U425" s="3">
        <f t="shared" si="12"/>
        <v>0</v>
      </c>
    </row>
    <row r="426" spans="1:21">
      <c r="A426" s="2">
        <v>425</v>
      </c>
      <c r="B426" s="2">
        <v>0</v>
      </c>
      <c r="C426" s="8">
        <f>(data!C426-AVERAGE(data!C:C))/_xlfn.STDEV.S(data!C:C)</f>
        <v>-0.38258214550217629</v>
      </c>
      <c r="D426" s="2">
        <v>1</v>
      </c>
      <c r="E426" s="2">
        <v>0</v>
      </c>
      <c r="F426" s="2">
        <v>1</v>
      </c>
      <c r="G426" s="2">
        <v>1</v>
      </c>
      <c r="H426" s="2">
        <v>0</v>
      </c>
      <c r="I426" s="2">
        <v>0</v>
      </c>
      <c r="J426" s="8">
        <f>(data!J426-AVERAGE(data!J:J))/_xlfn.STDEV.S(data!J:J)</f>
        <v>-1.1508688993495635</v>
      </c>
      <c r="K426" s="2">
        <v>0</v>
      </c>
      <c r="L426" s="2">
        <v>0</v>
      </c>
      <c r="M426" s="2">
        <v>0</v>
      </c>
      <c r="N426" s="2">
        <v>1</v>
      </c>
      <c r="O426" s="2">
        <v>1</v>
      </c>
      <c r="P426" s="2">
        <v>1</v>
      </c>
      <c r="Q426" s="2">
        <v>0</v>
      </c>
      <c r="R426" s="2">
        <v>1</v>
      </c>
      <c r="S426" s="6" cm="1">
        <f t="array" ref="S426">$Y$2+MMULT(C426:R426,$Y$3:$Y$18)</f>
        <v>-10.215261300530765</v>
      </c>
      <c r="T426" s="7">
        <f t="shared" si="13"/>
        <v>3.6606017913070293E-5</v>
      </c>
      <c r="U426" s="3">
        <f t="shared" si="12"/>
        <v>0</v>
      </c>
    </row>
    <row r="427" spans="1:21">
      <c r="A427" s="2">
        <v>426</v>
      </c>
      <c r="B427" s="2">
        <v>0</v>
      </c>
      <c r="C427" s="8">
        <f>(data!C427-AVERAGE(data!C:C))/_xlfn.STDEV.S(data!C:C)</f>
        <v>0.62550529311049718</v>
      </c>
      <c r="D427" s="2">
        <v>0</v>
      </c>
      <c r="E427" s="2">
        <v>0</v>
      </c>
      <c r="F427" s="2">
        <v>1</v>
      </c>
      <c r="G427" s="2">
        <v>1</v>
      </c>
      <c r="H427" s="2">
        <v>0</v>
      </c>
      <c r="I427" s="2">
        <v>0</v>
      </c>
      <c r="J427" s="8">
        <f>(data!J427-AVERAGE(data!J:J))/_xlfn.STDEV.S(data!J:J)</f>
        <v>-1.0770924452729411</v>
      </c>
      <c r="K427" s="2">
        <v>0</v>
      </c>
      <c r="L427" s="2">
        <v>1</v>
      </c>
      <c r="M427" s="2">
        <v>0</v>
      </c>
      <c r="N427" s="2">
        <v>1</v>
      </c>
      <c r="O427" s="2">
        <v>0</v>
      </c>
      <c r="P427" s="2">
        <v>1</v>
      </c>
      <c r="Q427" s="2">
        <v>0</v>
      </c>
      <c r="R427" s="2">
        <v>0</v>
      </c>
      <c r="S427" s="6" cm="1">
        <f t="array" ref="S427">$Y$2+MMULT(C427:R427,$Y$3:$Y$18)</f>
        <v>-7.1004886000737315</v>
      </c>
      <c r="T427" s="7">
        <f t="shared" si="13"/>
        <v>8.2402230267378761E-4</v>
      </c>
      <c r="U427" s="3">
        <f t="shared" si="12"/>
        <v>0</v>
      </c>
    </row>
    <row r="428" spans="1:21">
      <c r="A428" s="2">
        <v>427</v>
      </c>
      <c r="B428" s="2">
        <v>0</v>
      </c>
      <c r="C428" s="8">
        <f>(data!C428-AVERAGE(data!C:C))/_xlfn.STDEV.S(data!C:C)</f>
        <v>0.28947614690627266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8">
        <f>(data!J428-AVERAGE(data!J:J))/_xlfn.STDEV.S(data!J:J)</f>
        <v>0.10333081995301398</v>
      </c>
      <c r="K428" s="2">
        <v>0</v>
      </c>
      <c r="L428" s="2">
        <v>1</v>
      </c>
      <c r="M428" s="2">
        <v>0</v>
      </c>
      <c r="N428" s="2">
        <v>1</v>
      </c>
      <c r="O428" s="2">
        <v>1</v>
      </c>
      <c r="P428" s="2">
        <v>1</v>
      </c>
      <c r="Q428" s="2">
        <v>0</v>
      </c>
      <c r="R428" s="2">
        <v>0</v>
      </c>
      <c r="S428" s="6" cm="1">
        <f t="array" ref="S428">$Y$2+MMULT(C428:R428,$Y$3:$Y$18)</f>
        <v>-5.3608435043269527</v>
      </c>
      <c r="T428" s="7">
        <f t="shared" si="13"/>
        <v>4.6749844116377327E-3</v>
      </c>
      <c r="U428" s="3">
        <f t="shared" si="12"/>
        <v>0</v>
      </c>
    </row>
    <row r="429" spans="1:21">
      <c r="A429" s="2">
        <v>428</v>
      </c>
      <c r="B429" s="2">
        <v>0</v>
      </c>
      <c r="C429" s="8">
        <f>(data!C429-AVERAGE(data!C:C))/_xlfn.STDEV.S(data!C:C)</f>
        <v>-1.0126367946350971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8">
        <f>(data!J429-AVERAGE(data!J:J))/_xlfn.STDEV.S(data!J:J)</f>
        <v>-0.56065726673658578</v>
      </c>
      <c r="K429" s="2">
        <v>0</v>
      </c>
      <c r="L429" s="2">
        <v>0</v>
      </c>
      <c r="M429" s="2">
        <v>0</v>
      </c>
      <c r="N429" s="2">
        <v>1</v>
      </c>
      <c r="O429" s="2">
        <v>1</v>
      </c>
      <c r="P429" s="2">
        <v>1</v>
      </c>
      <c r="Q429" s="2">
        <v>0</v>
      </c>
      <c r="R429" s="2">
        <v>0</v>
      </c>
      <c r="S429" s="6" cm="1">
        <f t="array" ref="S429">$Y$2+MMULT(C429:R429,$Y$3:$Y$18)</f>
        <v>-12.678926378247226</v>
      </c>
      <c r="T429" s="7">
        <f t="shared" si="13"/>
        <v>3.1160963968433684E-6</v>
      </c>
      <c r="U429" s="3">
        <f t="shared" si="12"/>
        <v>0</v>
      </c>
    </row>
    <row r="430" spans="1:21">
      <c r="A430" s="2">
        <v>429</v>
      </c>
      <c r="B430" s="2">
        <v>0</v>
      </c>
      <c r="C430" s="8">
        <f>(data!C430-AVERAGE(data!C:C))/_xlfn.STDEV.S(data!C:C)</f>
        <v>-0.50859307532876041</v>
      </c>
      <c r="D430" s="2">
        <v>1</v>
      </c>
      <c r="E430" s="2">
        <v>0</v>
      </c>
      <c r="F430" s="2">
        <v>1</v>
      </c>
      <c r="G430" s="2">
        <v>1</v>
      </c>
      <c r="H430" s="2">
        <v>0</v>
      </c>
      <c r="I430" s="2">
        <v>0</v>
      </c>
      <c r="J430" s="8">
        <f>(data!J430-AVERAGE(data!J:J))/_xlfn.STDEV.S(data!J:J)</f>
        <v>-1.1508688993495635</v>
      </c>
      <c r="K430" s="2">
        <v>0</v>
      </c>
      <c r="L430" s="2">
        <v>0</v>
      </c>
      <c r="M430" s="2">
        <v>0</v>
      </c>
      <c r="N430" s="2">
        <v>0</v>
      </c>
      <c r="O430" s="2">
        <v>1</v>
      </c>
      <c r="P430" s="2">
        <v>1</v>
      </c>
      <c r="Q430" s="2">
        <v>0</v>
      </c>
      <c r="R430" s="2">
        <v>0</v>
      </c>
      <c r="S430" s="6" cm="1">
        <f t="array" ref="S430">$Y$2+MMULT(C430:R430,$Y$3:$Y$18)</f>
        <v>-10.723543191783214</v>
      </c>
      <c r="T430" s="7">
        <f t="shared" si="13"/>
        <v>2.2019872609636371E-5</v>
      </c>
      <c r="U430" s="3">
        <f t="shared" si="12"/>
        <v>0</v>
      </c>
    </row>
    <row r="431" spans="1:21">
      <c r="A431" s="2">
        <v>430</v>
      </c>
      <c r="B431" s="2">
        <v>0</v>
      </c>
      <c r="C431" s="8">
        <f>(data!C431-AVERAGE(data!C:C))/_xlfn.STDEV.S(data!C:C)</f>
        <v>-0.80261857825745686</v>
      </c>
      <c r="D431" s="2">
        <v>1</v>
      </c>
      <c r="E431" s="2">
        <v>0</v>
      </c>
      <c r="F431" s="2">
        <v>1</v>
      </c>
      <c r="G431" s="2">
        <v>0</v>
      </c>
      <c r="H431" s="2">
        <v>0</v>
      </c>
      <c r="I431" s="2">
        <v>0</v>
      </c>
      <c r="J431" s="8">
        <f>(data!J431-AVERAGE(data!J:J))/_xlfn.STDEV.S(data!J:J)</f>
        <v>0.17710727402963619</v>
      </c>
      <c r="K431" s="2">
        <v>0</v>
      </c>
      <c r="L431" s="2">
        <v>0</v>
      </c>
      <c r="M431" s="2">
        <v>0</v>
      </c>
      <c r="N431" s="2">
        <v>0</v>
      </c>
      <c r="O431" s="2">
        <v>1</v>
      </c>
      <c r="P431" s="2">
        <v>1</v>
      </c>
      <c r="Q431" s="2">
        <v>0</v>
      </c>
      <c r="R431" s="2">
        <v>0</v>
      </c>
      <c r="S431" s="6" cm="1">
        <f t="array" ref="S431">$Y$2+MMULT(C431:R431,$Y$3:$Y$18)</f>
        <v>-10.950436325331424</v>
      </c>
      <c r="T431" s="7">
        <f t="shared" si="13"/>
        <v>1.7550047955774246E-5</v>
      </c>
      <c r="U431" s="3">
        <f t="shared" si="12"/>
        <v>0</v>
      </c>
    </row>
    <row r="432" spans="1:21">
      <c r="A432" s="2">
        <v>431</v>
      </c>
      <c r="B432" s="2">
        <v>0</v>
      </c>
      <c r="C432" s="8">
        <f>(data!C432-AVERAGE(data!C:C))/_xlfn.STDEV.S(data!C:C)</f>
        <v>-1.3066622975637936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8">
        <f>(data!J432-AVERAGE(data!J:J))/_xlfn.STDEV.S(data!J:J)</f>
        <v>-4.4222088200230422E-2</v>
      </c>
      <c r="K432" s="2">
        <v>0</v>
      </c>
      <c r="L432" s="2">
        <v>1</v>
      </c>
      <c r="M432" s="2">
        <v>0</v>
      </c>
      <c r="N432" s="2">
        <v>1</v>
      </c>
      <c r="O432" s="2">
        <v>1</v>
      </c>
      <c r="P432" s="2">
        <v>1</v>
      </c>
      <c r="Q432" s="2">
        <v>0</v>
      </c>
      <c r="R432" s="2">
        <v>0</v>
      </c>
      <c r="S432" s="6" cm="1">
        <f t="array" ref="S432">$Y$2+MMULT(C432:R432,$Y$3:$Y$18)</f>
        <v>-14.782237636280986</v>
      </c>
      <c r="T432" s="7">
        <f t="shared" si="13"/>
        <v>3.8032563513967702E-7</v>
      </c>
      <c r="U432" s="3">
        <f t="shared" si="12"/>
        <v>0</v>
      </c>
    </row>
    <row r="433" spans="1:21">
      <c r="A433" s="2">
        <v>432</v>
      </c>
      <c r="B433" s="2">
        <v>0</v>
      </c>
      <c r="C433" s="8">
        <f>(data!C433-AVERAGE(data!C:C))/_xlfn.STDEV.S(data!C:C)</f>
        <v>-4.6552999297951793E-2</v>
      </c>
      <c r="D433" s="2">
        <v>1</v>
      </c>
      <c r="E433" s="2">
        <v>1</v>
      </c>
      <c r="F433" s="2">
        <v>0</v>
      </c>
      <c r="G433" s="2">
        <v>0</v>
      </c>
      <c r="H433" s="2">
        <v>0</v>
      </c>
      <c r="I433" s="2">
        <v>0</v>
      </c>
      <c r="J433" s="8">
        <f>(data!J433-AVERAGE(data!J:J))/_xlfn.STDEV.S(data!J:J)</f>
        <v>1.3575305392555914</v>
      </c>
      <c r="K433" s="2">
        <v>0</v>
      </c>
      <c r="L433" s="2">
        <v>1</v>
      </c>
      <c r="M433" s="2">
        <v>1</v>
      </c>
      <c r="N433" s="2">
        <v>1</v>
      </c>
      <c r="O433" s="2">
        <v>1</v>
      </c>
      <c r="P433" s="2">
        <v>1</v>
      </c>
      <c r="Q433" s="2">
        <v>0</v>
      </c>
      <c r="R433" s="2">
        <v>0</v>
      </c>
      <c r="S433" s="6" cm="1">
        <f t="array" ref="S433">$Y$2+MMULT(C433:R433,$Y$3:$Y$18)</f>
        <v>-5.0676710020590363</v>
      </c>
      <c r="T433" s="7">
        <f t="shared" si="13"/>
        <v>6.2576639947044075E-3</v>
      </c>
      <c r="U433" s="3">
        <f t="shared" si="12"/>
        <v>0</v>
      </c>
    </row>
    <row r="434" spans="1:21">
      <c r="A434" s="2">
        <v>433</v>
      </c>
      <c r="B434" s="2">
        <v>1</v>
      </c>
      <c r="C434" s="8">
        <f>(data!C434-AVERAGE(data!C:C))/_xlfn.STDEV.S(data!C:C)</f>
        <v>1.6755963749986986</v>
      </c>
      <c r="D434" s="2">
        <v>1</v>
      </c>
      <c r="E434" s="2">
        <v>1</v>
      </c>
      <c r="F434" s="2">
        <v>0</v>
      </c>
      <c r="G434" s="2">
        <v>0</v>
      </c>
      <c r="H434" s="2">
        <v>0</v>
      </c>
      <c r="I434" s="2">
        <v>0</v>
      </c>
      <c r="J434" s="8">
        <f>(data!J434-AVERAGE(data!J:J))/_xlfn.STDEV.S(data!J:J)</f>
        <v>0.39843663625950276</v>
      </c>
      <c r="K434" s="2">
        <v>1</v>
      </c>
      <c r="L434" s="2">
        <v>0</v>
      </c>
      <c r="M434" s="2">
        <v>0</v>
      </c>
      <c r="N434" s="2">
        <v>1</v>
      </c>
      <c r="O434" s="2">
        <v>1</v>
      </c>
      <c r="P434" s="2">
        <v>1</v>
      </c>
      <c r="Q434" s="2">
        <v>0</v>
      </c>
      <c r="R434" s="2">
        <v>0</v>
      </c>
      <c r="S434" s="6" cm="1">
        <f t="array" ref="S434">$Y$2+MMULT(C434:R434,$Y$3:$Y$18)</f>
        <v>4.2077185337451883</v>
      </c>
      <c r="T434" s="7">
        <f t="shared" si="13"/>
        <v>0.98533789767176805</v>
      </c>
      <c r="U434" s="3">
        <f t="shared" si="12"/>
        <v>1</v>
      </c>
    </row>
    <row r="435" spans="1:21">
      <c r="A435" s="2">
        <v>434</v>
      </c>
      <c r="B435" s="2">
        <v>1</v>
      </c>
      <c r="C435" s="8">
        <f>(data!C435-AVERAGE(data!C:C))/_xlfn.STDEV.S(data!C:C)</f>
        <v>1.6755963749986986</v>
      </c>
      <c r="D435" s="2">
        <v>1</v>
      </c>
      <c r="E435" s="2">
        <v>0</v>
      </c>
      <c r="F435" s="2">
        <v>0</v>
      </c>
      <c r="G435" s="2">
        <v>1</v>
      </c>
      <c r="H435" s="2">
        <v>0</v>
      </c>
      <c r="I435" s="2">
        <v>0</v>
      </c>
      <c r="J435" s="8">
        <f>(data!J435-AVERAGE(data!J:J))/_xlfn.STDEV.S(data!J:J)</f>
        <v>0.10333081995301398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  <c r="P435" s="2">
        <v>1</v>
      </c>
      <c r="Q435" s="2">
        <v>0</v>
      </c>
      <c r="R435" s="2">
        <v>0</v>
      </c>
      <c r="S435" s="6" cm="1">
        <f t="array" ref="S435">$Y$2+MMULT(C435:R435,$Y$3:$Y$18)</f>
        <v>1.4760338984867261</v>
      </c>
      <c r="T435" s="7">
        <f t="shared" si="13"/>
        <v>0.81397277696229897</v>
      </c>
      <c r="U435" s="3">
        <f t="shared" si="12"/>
        <v>1</v>
      </c>
    </row>
    <row r="436" spans="1:21">
      <c r="A436" s="2">
        <v>435</v>
      </c>
      <c r="B436" s="2">
        <v>1</v>
      </c>
      <c r="C436" s="8">
        <f>(data!C436-AVERAGE(data!C:C))/_xlfn.STDEV.S(data!C:C)</f>
        <v>1.6755963749986986</v>
      </c>
      <c r="D436" s="2">
        <v>0</v>
      </c>
      <c r="E436" s="2">
        <v>1</v>
      </c>
      <c r="F436" s="2">
        <v>1</v>
      </c>
      <c r="G436" s="2">
        <v>1</v>
      </c>
      <c r="H436" s="2">
        <v>0</v>
      </c>
      <c r="I436" s="2">
        <v>0</v>
      </c>
      <c r="J436" s="8">
        <f>(data!J436-AVERAGE(data!J:J))/_xlfn.STDEV.S(data!J:J)</f>
        <v>-0.56065726673658578</v>
      </c>
      <c r="K436" s="2">
        <v>1</v>
      </c>
      <c r="L436" s="2">
        <v>0</v>
      </c>
      <c r="M436" s="2">
        <v>1</v>
      </c>
      <c r="N436" s="2">
        <v>1</v>
      </c>
      <c r="O436" s="2">
        <v>1</v>
      </c>
      <c r="P436" s="2">
        <v>1</v>
      </c>
      <c r="Q436" s="2">
        <v>0</v>
      </c>
      <c r="R436" s="2">
        <v>0</v>
      </c>
      <c r="S436" s="6" cm="1">
        <f t="array" ref="S436">$Y$2+MMULT(C436:R436,$Y$3:$Y$18)</f>
        <v>3.6164668936306725</v>
      </c>
      <c r="T436" s="7">
        <f t="shared" si="13"/>
        <v>0.97382602045087985</v>
      </c>
      <c r="U436" s="3">
        <f t="shared" si="12"/>
        <v>1</v>
      </c>
    </row>
    <row r="437" spans="1:21">
      <c r="A437" s="2">
        <v>436</v>
      </c>
      <c r="B437" s="2">
        <v>0</v>
      </c>
      <c r="C437" s="8">
        <f>(data!C437-AVERAGE(data!C:C))/_xlfn.STDEV.S(data!C:C)</f>
        <v>-0.84462222153298494</v>
      </c>
      <c r="D437" s="2">
        <v>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8">
        <f>(data!J437-AVERAGE(data!J:J))/_xlfn.STDEV.S(data!J:J)</f>
        <v>-1.003315991196319</v>
      </c>
      <c r="K437" s="2">
        <v>0</v>
      </c>
      <c r="L437" s="2">
        <v>0</v>
      </c>
      <c r="M437" s="2">
        <v>0</v>
      </c>
      <c r="N437" s="2">
        <v>1</v>
      </c>
      <c r="O437" s="2">
        <v>0</v>
      </c>
      <c r="P437" s="2">
        <v>1</v>
      </c>
      <c r="Q437" s="2">
        <v>0</v>
      </c>
      <c r="R437" s="2">
        <v>0</v>
      </c>
      <c r="S437" s="6" cm="1">
        <f t="array" ref="S437">$Y$2+MMULT(C437:R437,$Y$3:$Y$18)</f>
        <v>-13.463248652304012</v>
      </c>
      <c r="T437" s="7">
        <f t="shared" si="13"/>
        <v>1.4222789555008734E-6</v>
      </c>
      <c r="U437" s="3">
        <f t="shared" si="12"/>
        <v>0</v>
      </c>
    </row>
    <row r="438" spans="1:21">
      <c r="A438" s="2">
        <v>437</v>
      </c>
      <c r="B438" s="2">
        <v>0</v>
      </c>
      <c r="C438" s="8">
        <f>(data!C438-AVERAGE(data!C:C))/_xlfn.STDEV.S(data!C:C)</f>
        <v>1.0035380825902496</v>
      </c>
      <c r="D438" s="2">
        <v>1</v>
      </c>
      <c r="E438" s="2">
        <v>0</v>
      </c>
      <c r="F438" s="2">
        <v>1</v>
      </c>
      <c r="G438" s="2">
        <v>1</v>
      </c>
      <c r="H438" s="2">
        <v>0</v>
      </c>
      <c r="I438" s="2">
        <v>0</v>
      </c>
      <c r="J438" s="8">
        <f>(data!J438-AVERAGE(data!J:J))/_xlfn.STDEV.S(data!J:J)</f>
        <v>-1.2984218075028078</v>
      </c>
      <c r="K438" s="2">
        <v>0</v>
      </c>
      <c r="L438" s="2">
        <v>0</v>
      </c>
      <c r="M438" s="2">
        <v>1</v>
      </c>
      <c r="N438" s="2">
        <v>1</v>
      </c>
      <c r="O438" s="2">
        <v>1</v>
      </c>
      <c r="P438" s="2">
        <v>1</v>
      </c>
      <c r="Q438" s="2">
        <v>0</v>
      </c>
      <c r="R438" s="2">
        <v>0</v>
      </c>
      <c r="S438" s="6" cm="1">
        <f t="array" ref="S438">$Y$2+MMULT(C438:R438,$Y$3:$Y$18)</f>
        <v>-0.76406864008647402</v>
      </c>
      <c r="T438" s="7">
        <f t="shared" si="13"/>
        <v>0.31776357293676255</v>
      </c>
      <c r="U438" s="3">
        <f t="shared" si="12"/>
        <v>0</v>
      </c>
    </row>
    <row r="439" spans="1:21">
      <c r="A439" s="2">
        <v>438</v>
      </c>
      <c r="B439" s="2">
        <v>1</v>
      </c>
      <c r="C439" s="8">
        <f>(data!C439-AVERAGE(data!C:C))/_xlfn.STDEV.S(data!C:C)</f>
        <v>1.4235745153455301</v>
      </c>
      <c r="D439" s="2">
        <v>1</v>
      </c>
      <c r="E439" s="2">
        <v>1</v>
      </c>
      <c r="F439" s="2">
        <v>1</v>
      </c>
      <c r="G439" s="2">
        <v>1</v>
      </c>
      <c r="H439" s="2">
        <v>0</v>
      </c>
      <c r="I439" s="2">
        <v>0</v>
      </c>
      <c r="J439" s="8">
        <f>(data!J439-AVERAGE(data!J:J))/_xlfn.STDEV.S(data!J:J)</f>
        <v>1.2099776311023469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>
        <v>1</v>
      </c>
      <c r="Q439" s="2">
        <v>1</v>
      </c>
      <c r="R439" s="2">
        <v>0</v>
      </c>
      <c r="S439" s="6" cm="1">
        <f t="array" ref="S439">$Y$2+MMULT(C439:R439,$Y$3:$Y$18)</f>
        <v>3.49536935479939</v>
      </c>
      <c r="T439" s="7">
        <f t="shared" si="13"/>
        <v>0.97055572582585359</v>
      </c>
      <c r="U439" s="3">
        <f t="shared" si="12"/>
        <v>1</v>
      </c>
    </row>
    <row r="440" spans="1:21">
      <c r="A440" s="2">
        <v>439</v>
      </c>
      <c r="B440" s="2">
        <v>0</v>
      </c>
      <c r="C440" s="8">
        <f>(data!C440-AVERAGE(data!C:C))/_xlfn.STDEV.S(data!C:C)</f>
        <v>0.20546886035521655</v>
      </c>
      <c r="D440" s="2">
        <v>0</v>
      </c>
      <c r="E440" s="2">
        <v>1</v>
      </c>
      <c r="F440" s="2">
        <v>0</v>
      </c>
      <c r="G440" s="2">
        <v>0</v>
      </c>
      <c r="H440" s="2">
        <v>0</v>
      </c>
      <c r="I440" s="2">
        <v>0</v>
      </c>
      <c r="J440" s="8">
        <f>(data!J440-AVERAGE(data!J:J))/_xlfn.STDEV.S(data!J:J)</f>
        <v>0.10333081995301398</v>
      </c>
      <c r="K440" s="2">
        <v>1</v>
      </c>
      <c r="L440" s="2">
        <v>0</v>
      </c>
      <c r="M440" s="2">
        <v>0</v>
      </c>
      <c r="N440" s="2">
        <v>1</v>
      </c>
      <c r="O440" s="2">
        <v>1</v>
      </c>
      <c r="P440" s="2">
        <v>1</v>
      </c>
      <c r="Q440" s="2">
        <v>0</v>
      </c>
      <c r="R440" s="2">
        <v>0</v>
      </c>
      <c r="S440" s="6" cm="1">
        <f t="array" ref="S440">$Y$2+MMULT(C440:R440,$Y$3:$Y$18)</f>
        <v>-4.9085201491416441</v>
      </c>
      <c r="T440" s="7">
        <f t="shared" si="13"/>
        <v>7.3292914524397948E-3</v>
      </c>
      <c r="U440" s="3">
        <f t="shared" si="12"/>
        <v>0</v>
      </c>
    </row>
    <row r="441" spans="1:21">
      <c r="A441" s="2">
        <v>440</v>
      </c>
      <c r="B441" s="2">
        <v>0</v>
      </c>
      <c r="C441" s="8">
        <f>(data!C441-AVERAGE(data!C:C))/_xlfn.STDEV.S(data!C:C)</f>
        <v>-0.76061493498192878</v>
      </c>
      <c r="D441" s="2">
        <v>1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8">
        <f>(data!J441-AVERAGE(data!J:J))/_xlfn.STDEV.S(data!J:J)</f>
        <v>0.39843663625950276</v>
      </c>
      <c r="K441" s="2">
        <v>0</v>
      </c>
      <c r="L441" s="2">
        <v>1</v>
      </c>
      <c r="M441" s="2">
        <v>1</v>
      </c>
      <c r="N441" s="2">
        <v>1</v>
      </c>
      <c r="O441" s="2">
        <v>1</v>
      </c>
      <c r="P441" s="2">
        <v>1</v>
      </c>
      <c r="Q441" s="2">
        <v>0</v>
      </c>
      <c r="R441" s="2">
        <v>1</v>
      </c>
      <c r="S441" s="6" cm="1">
        <f t="array" ref="S441">$Y$2+MMULT(C441:R441,$Y$3:$Y$18)</f>
        <v>-9.5491203641906655</v>
      </c>
      <c r="T441" s="7">
        <f t="shared" si="13"/>
        <v>7.1258843617300367E-5</v>
      </c>
      <c r="U441" s="3">
        <f t="shared" si="12"/>
        <v>0</v>
      </c>
    </row>
    <row r="442" spans="1:21">
      <c r="A442" s="2">
        <v>441</v>
      </c>
      <c r="B442" s="2">
        <v>0</v>
      </c>
      <c r="C442" s="8">
        <f>(data!C442-AVERAGE(data!C:C))/_xlfn.STDEV.S(data!C:C)</f>
        <v>0.75151622293708131</v>
      </c>
      <c r="D442" s="2">
        <v>1</v>
      </c>
      <c r="E442" s="2">
        <v>1</v>
      </c>
      <c r="F442" s="2">
        <v>1</v>
      </c>
      <c r="G442" s="2">
        <v>1</v>
      </c>
      <c r="H442" s="2">
        <v>0</v>
      </c>
      <c r="I442" s="2">
        <v>0</v>
      </c>
      <c r="J442" s="8">
        <f>(data!J442-AVERAGE(data!J:J))/_xlfn.STDEV.S(data!J:J)</f>
        <v>-0.41310435858334144</v>
      </c>
      <c r="K442" s="2">
        <v>1</v>
      </c>
      <c r="L442" s="2">
        <v>0</v>
      </c>
      <c r="M442" s="2">
        <v>1</v>
      </c>
      <c r="N442" s="2">
        <v>1</v>
      </c>
      <c r="O442" s="2">
        <v>1</v>
      </c>
      <c r="P442" s="2">
        <v>1</v>
      </c>
      <c r="Q442" s="2">
        <v>0</v>
      </c>
      <c r="R442" s="2">
        <v>0</v>
      </c>
      <c r="S442" s="6" cm="1">
        <f t="array" ref="S442">$Y$2+MMULT(C442:R442,$Y$3:$Y$18)</f>
        <v>-1.6243819034265399</v>
      </c>
      <c r="T442" s="7">
        <f t="shared" si="13"/>
        <v>0.16460143838071079</v>
      </c>
      <c r="U442" s="3">
        <f t="shared" si="12"/>
        <v>0</v>
      </c>
    </row>
    <row r="443" spans="1:21">
      <c r="A443" s="2">
        <v>442</v>
      </c>
      <c r="B443" s="2">
        <v>0</v>
      </c>
      <c r="C443" s="8">
        <f>(data!C443-AVERAGE(data!C:C))/_xlfn.STDEV.S(data!C:C)</f>
        <v>0.12146157380416044</v>
      </c>
      <c r="D443" s="2">
        <v>0</v>
      </c>
      <c r="E443" s="2">
        <v>0</v>
      </c>
      <c r="F443" s="2">
        <v>1</v>
      </c>
      <c r="G443" s="2">
        <v>1</v>
      </c>
      <c r="H443" s="2">
        <v>0</v>
      </c>
      <c r="I443" s="2">
        <v>0</v>
      </c>
      <c r="J443" s="8">
        <f>(data!J443-AVERAGE(data!J:J))/_xlfn.STDEV.S(data!J:J)</f>
        <v>-1.1508688993495635</v>
      </c>
      <c r="K443" s="2">
        <v>0</v>
      </c>
      <c r="L443" s="2">
        <v>0</v>
      </c>
      <c r="M443" s="2">
        <v>0</v>
      </c>
      <c r="N443" s="2">
        <v>0</v>
      </c>
      <c r="O443" s="2">
        <v>1</v>
      </c>
      <c r="P443" s="2">
        <v>1</v>
      </c>
      <c r="Q443" s="2">
        <v>0</v>
      </c>
      <c r="R443" s="2">
        <v>0</v>
      </c>
      <c r="S443" s="6" cm="1">
        <f t="array" ref="S443">$Y$2+MMULT(C443:R443,$Y$3:$Y$18)</f>
        <v>-7.1475691188578887</v>
      </c>
      <c r="T443" s="7">
        <f t="shared" si="13"/>
        <v>7.8615578625928996E-4</v>
      </c>
      <c r="U443" s="3">
        <f t="shared" si="12"/>
        <v>0</v>
      </c>
    </row>
    <row r="444" spans="1:21">
      <c r="A444" s="2">
        <v>443</v>
      </c>
      <c r="B444" s="2">
        <v>0</v>
      </c>
      <c r="C444" s="8">
        <f>(data!C444-AVERAGE(data!C:C))/_xlfn.STDEV.S(data!C:C)</f>
        <v>-0.55059671860428849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8">
        <f>(data!J444-AVERAGE(data!J:J))/_xlfn.STDEV.S(data!J:J)</f>
        <v>-0.19177499635347484</v>
      </c>
      <c r="K444" s="2">
        <v>1</v>
      </c>
      <c r="L444" s="2">
        <v>0</v>
      </c>
      <c r="M444" s="2">
        <v>0</v>
      </c>
      <c r="N444" s="2">
        <v>0</v>
      </c>
      <c r="O444" s="2">
        <v>1</v>
      </c>
      <c r="P444" s="2">
        <v>1</v>
      </c>
      <c r="Q444" s="2">
        <v>0</v>
      </c>
      <c r="R444" s="2">
        <v>0</v>
      </c>
      <c r="S444" s="6" cm="1">
        <f t="array" ref="S444">$Y$2+MMULT(C444:R444,$Y$3:$Y$18)</f>
        <v>-9.003691819923219</v>
      </c>
      <c r="T444" s="7">
        <f t="shared" si="13"/>
        <v>1.2293992120572053E-4</v>
      </c>
      <c r="U444" s="3">
        <f t="shared" si="12"/>
        <v>0</v>
      </c>
    </row>
    <row r="445" spans="1:21">
      <c r="A445" s="2">
        <v>444</v>
      </c>
      <c r="B445" s="2">
        <v>1</v>
      </c>
      <c r="C445" s="8">
        <f>(data!C445-AVERAGE(data!C:C))/_xlfn.STDEV.S(data!C:C)</f>
        <v>1.6755963749986986</v>
      </c>
      <c r="D445" s="2">
        <v>1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8">
        <f>(data!J445-AVERAGE(data!J:J))/_xlfn.STDEV.S(data!J:J)</f>
        <v>0.32466018218288056</v>
      </c>
      <c r="K445" s="2">
        <v>0</v>
      </c>
      <c r="L445" s="2">
        <v>0</v>
      </c>
      <c r="M445" s="2">
        <v>0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6" cm="1">
        <f t="array" ref="S445">$Y$2+MMULT(C445:R445,$Y$3:$Y$18)</f>
        <v>7.4662051981498401</v>
      </c>
      <c r="T445" s="7">
        <f t="shared" si="13"/>
        <v>0.99942823193508756</v>
      </c>
      <c r="U445" s="3">
        <f t="shared" si="12"/>
        <v>1</v>
      </c>
    </row>
    <row r="446" spans="1:21">
      <c r="A446" s="2">
        <v>445</v>
      </c>
      <c r="B446" s="2">
        <v>0</v>
      </c>
      <c r="C446" s="8">
        <f>(data!C446-AVERAGE(data!C:C))/_xlfn.STDEV.S(data!C:C)</f>
        <v>-0.97063315135956907</v>
      </c>
      <c r="D446" s="2">
        <v>1</v>
      </c>
      <c r="E446" s="2">
        <v>1</v>
      </c>
      <c r="F446" s="2">
        <v>0</v>
      </c>
      <c r="G446" s="2">
        <v>1</v>
      </c>
      <c r="H446" s="2">
        <v>0</v>
      </c>
      <c r="I446" s="2">
        <v>0</v>
      </c>
      <c r="J446" s="8">
        <f>(data!J446-AVERAGE(data!J:J))/_xlfn.STDEV.S(data!J:J)</f>
        <v>-0.78198662896645244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  <c r="P446" s="2">
        <v>1</v>
      </c>
      <c r="Q446" s="2">
        <v>0</v>
      </c>
      <c r="R446" s="2">
        <v>0</v>
      </c>
      <c r="S446" s="6" cm="1">
        <f t="array" ref="S446">$Y$2+MMULT(C446:R446,$Y$3:$Y$18)</f>
        <v>-14.944722777380992</v>
      </c>
      <c r="T446" s="7">
        <f t="shared" si="13"/>
        <v>3.2328773149768877E-7</v>
      </c>
      <c r="U446" s="3">
        <f t="shared" si="12"/>
        <v>0</v>
      </c>
    </row>
    <row r="447" spans="1:21">
      <c r="A447" s="2">
        <v>446</v>
      </c>
      <c r="B447" s="2">
        <v>1</v>
      </c>
      <c r="C447" s="8">
        <f>(data!C447-AVERAGE(data!C:C))/_xlfn.STDEV.S(data!C:C)</f>
        <v>1.6755963749986986</v>
      </c>
      <c r="D447" s="2">
        <v>0</v>
      </c>
      <c r="E447" s="2">
        <v>1</v>
      </c>
      <c r="F447" s="2">
        <v>1</v>
      </c>
      <c r="G447" s="2">
        <v>1</v>
      </c>
      <c r="H447" s="2">
        <v>0</v>
      </c>
      <c r="I447" s="2">
        <v>0</v>
      </c>
      <c r="J447" s="8">
        <f>(data!J447-AVERAGE(data!J:J))/_xlfn.STDEV.S(data!J:J)</f>
        <v>-0.19177499635347484</v>
      </c>
      <c r="K447" s="2">
        <v>0</v>
      </c>
      <c r="L447" s="2">
        <v>0</v>
      </c>
      <c r="M447" s="2">
        <v>1</v>
      </c>
      <c r="N447" s="2">
        <v>1</v>
      </c>
      <c r="O447" s="2">
        <v>1</v>
      </c>
      <c r="P447" s="2">
        <v>1</v>
      </c>
      <c r="Q447" s="2">
        <v>0</v>
      </c>
      <c r="R447" s="2">
        <v>0</v>
      </c>
      <c r="S447" s="6" cm="1">
        <f t="array" ref="S447">$Y$2+MMULT(C447:R447,$Y$3:$Y$18)</f>
        <v>3.5947307522224587</v>
      </c>
      <c r="T447" s="7">
        <f t="shared" si="13"/>
        <v>0.97326624691294561</v>
      </c>
      <c r="U447" s="3">
        <f t="shared" si="12"/>
        <v>1</v>
      </c>
    </row>
    <row r="448" spans="1:21">
      <c r="A448" s="2">
        <v>447</v>
      </c>
      <c r="B448" s="2">
        <v>0</v>
      </c>
      <c r="C448" s="8">
        <f>(data!C448-AVERAGE(data!C:C))/_xlfn.STDEV.S(data!C:C)</f>
        <v>1.0455417258657778</v>
      </c>
      <c r="D448" s="2">
        <v>0</v>
      </c>
      <c r="E448" s="2">
        <v>0</v>
      </c>
      <c r="F448" s="2">
        <v>0</v>
      </c>
      <c r="G448" s="2">
        <v>1</v>
      </c>
      <c r="H448" s="2">
        <v>0</v>
      </c>
      <c r="I448" s="2">
        <v>0</v>
      </c>
      <c r="J448" s="8">
        <f>(data!J448-AVERAGE(data!J:J))/_xlfn.STDEV.S(data!J:J)</f>
        <v>1.3575305392555914</v>
      </c>
      <c r="K448" s="2">
        <v>1</v>
      </c>
      <c r="L448" s="2">
        <v>0</v>
      </c>
      <c r="M448" s="2">
        <v>0</v>
      </c>
      <c r="N448" s="2">
        <v>0</v>
      </c>
      <c r="O448" s="2">
        <v>1</v>
      </c>
      <c r="P448" s="2">
        <v>1</v>
      </c>
      <c r="Q448" s="2">
        <v>0</v>
      </c>
      <c r="R448" s="2">
        <v>0</v>
      </c>
      <c r="S448" s="6" cm="1">
        <f t="array" ref="S448">$Y$2+MMULT(C448:R448,$Y$3:$Y$18)</f>
        <v>0.6906233990331696</v>
      </c>
      <c r="T448" s="7">
        <f t="shared" si="13"/>
        <v>0.66610559061963592</v>
      </c>
      <c r="U448" s="3">
        <f t="shared" si="12"/>
        <v>1</v>
      </c>
    </row>
    <row r="449" spans="1:21">
      <c r="A449" s="2">
        <v>448</v>
      </c>
      <c r="B449" s="2">
        <v>0</v>
      </c>
      <c r="C449" s="8">
        <f>(data!C449-AVERAGE(data!C:C))/_xlfn.STDEV.S(data!C:C)</f>
        <v>0.83552350948813747</v>
      </c>
      <c r="D449" s="2">
        <v>0</v>
      </c>
      <c r="E449" s="2">
        <v>0</v>
      </c>
      <c r="F449" s="2">
        <v>1</v>
      </c>
      <c r="G449" s="2">
        <v>1</v>
      </c>
      <c r="H449" s="2">
        <v>0</v>
      </c>
      <c r="I449" s="2">
        <v>0</v>
      </c>
      <c r="J449" s="8">
        <f>(data!J449-AVERAGE(data!J:J))/_xlfn.STDEV.S(data!J:J)</f>
        <v>-1.0770924452729411</v>
      </c>
      <c r="K449" s="2">
        <v>0</v>
      </c>
      <c r="L449" s="2">
        <v>0</v>
      </c>
      <c r="M449" s="2">
        <v>0</v>
      </c>
      <c r="N449" s="2">
        <v>0</v>
      </c>
      <c r="O449" s="2">
        <v>1</v>
      </c>
      <c r="P449" s="2">
        <v>1</v>
      </c>
      <c r="Q449" s="2">
        <v>0</v>
      </c>
      <c r="R449" s="2">
        <v>0</v>
      </c>
      <c r="S449" s="6" cm="1">
        <f t="array" ref="S449">$Y$2+MMULT(C449:R449,$Y$3:$Y$18)</f>
        <v>-2.8479717124307604</v>
      </c>
      <c r="T449" s="7">
        <f t="shared" si="13"/>
        <v>5.4786256726862964E-2</v>
      </c>
      <c r="U449" s="3">
        <f t="shared" si="12"/>
        <v>0</v>
      </c>
    </row>
    <row r="450" spans="1:21">
      <c r="A450" s="2">
        <v>449</v>
      </c>
      <c r="B450" s="2">
        <v>0</v>
      </c>
      <c r="C450" s="8">
        <f>(data!C450-AVERAGE(data!C:C))/_xlfn.STDEV.S(data!C:C)</f>
        <v>1.6755963749986986</v>
      </c>
      <c r="D450" s="2">
        <v>0</v>
      </c>
      <c r="E450" s="2">
        <v>1</v>
      </c>
      <c r="F450" s="2">
        <v>1</v>
      </c>
      <c r="G450" s="2">
        <v>0</v>
      </c>
      <c r="H450" s="2">
        <v>0</v>
      </c>
      <c r="I450" s="2">
        <v>0</v>
      </c>
      <c r="J450" s="8">
        <f>(data!J450-AVERAGE(data!J:J))/_xlfn.STDEV.S(data!J:J)</f>
        <v>1.3575305392555914</v>
      </c>
      <c r="K450" s="2">
        <v>1</v>
      </c>
      <c r="L450" s="2">
        <v>0</v>
      </c>
      <c r="M450" s="2">
        <v>1</v>
      </c>
      <c r="N450" s="2">
        <v>1</v>
      </c>
      <c r="O450" s="2">
        <v>1</v>
      </c>
      <c r="P450" s="2">
        <v>1</v>
      </c>
      <c r="Q450" s="2">
        <v>0</v>
      </c>
      <c r="R450" s="2">
        <v>0</v>
      </c>
      <c r="S450" s="6" cm="1">
        <f t="array" ref="S450">$Y$2+MMULT(C450:R450,$Y$3:$Y$18)</f>
        <v>5.4920854439089393</v>
      </c>
      <c r="T450" s="7">
        <f t="shared" si="13"/>
        <v>0.99589765381134443</v>
      </c>
      <c r="U450" s="3">
        <f t="shared" ref="U450:U513" si="14">IF(T450&gt;=cut,1,0)</f>
        <v>1</v>
      </c>
    </row>
    <row r="451" spans="1:21">
      <c r="A451" s="2">
        <v>450</v>
      </c>
      <c r="B451" s="2">
        <v>0</v>
      </c>
      <c r="C451" s="8">
        <f>(data!C451-AVERAGE(data!C:C))/_xlfn.STDEV.S(data!C:C)</f>
        <v>0.24747250363074461</v>
      </c>
      <c r="D451" s="2">
        <v>1</v>
      </c>
      <c r="E451" s="2">
        <v>0</v>
      </c>
      <c r="F451" s="2">
        <v>1</v>
      </c>
      <c r="G451" s="2">
        <v>1</v>
      </c>
      <c r="H451" s="2">
        <v>0</v>
      </c>
      <c r="I451" s="2">
        <v>0</v>
      </c>
      <c r="J451" s="8">
        <f>(data!J451-AVERAGE(data!J:J))/_xlfn.STDEV.S(data!J:J)</f>
        <v>1.0624247229491026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1</v>
      </c>
      <c r="Q451" s="2">
        <v>1</v>
      </c>
      <c r="R451" s="2">
        <v>0</v>
      </c>
      <c r="S451" s="6" cm="1">
        <f t="array" ref="S451">$Y$2+MMULT(C451:R451,$Y$3:$Y$18)</f>
        <v>-5.6188537691698492</v>
      </c>
      <c r="T451" s="7">
        <f t="shared" ref="T451:T514" si="15">EXP(S451)/(1+EXP(S451))</f>
        <v>3.6156776021188616E-3</v>
      </c>
      <c r="U451" s="3">
        <f t="shared" si="14"/>
        <v>0</v>
      </c>
    </row>
    <row r="452" spans="1:21">
      <c r="A452" s="2">
        <v>451</v>
      </c>
      <c r="B452" s="2">
        <v>0</v>
      </c>
      <c r="C452" s="8">
        <f>(data!C452-AVERAGE(data!C:C))/_xlfn.STDEV.S(data!C:C)</f>
        <v>-1.3066622975637936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8">
        <f>(data!J452-AVERAGE(data!J:J))/_xlfn.STDEV.S(data!J:J)</f>
        <v>-1.2984218075028078</v>
      </c>
      <c r="K452" s="2">
        <v>0</v>
      </c>
      <c r="L452" s="2">
        <v>0</v>
      </c>
      <c r="M452" s="2">
        <v>0</v>
      </c>
      <c r="N452" s="2">
        <v>0</v>
      </c>
      <c r="O452" s="2">
        <v>1</v>
      </c>
      <c r="P452" s="2">
        <v>1</v>
      </c>
      <c r="Q452" s="2">
        <v>0</v>
      </c>
      <c r="R452" s="2">
        <v>0</v>
      </c>
      <c r="S452" s="6" cm="1">
        <f t="array" ref="S452">$Y$2+MMULT(C452:R452,$Y$3:$Y$18)</f>
        <v>-14.40687875061697</v>
      </c>
      <c r="T452" s="7">
        <f t="shared" si="15"/>
        <v>5.5356907037771191E-7</v>
      </c>
      <c r="U452" s="3">
        <f t="shared" si="14"/>
        <v>0</v>
      </c>
    </row>
    <row r="453" spans="1:21">
      <c r="A453" s="2">
        <v>452</v>
      </c>
      <c r="B453" s="2">
        <v>1</v>
      </c>
      <c r="C453" s="8">
        <f>(data!C453-AVERAGE(data!C:C))/_xlfn.STDEV.S(data!C:C)</f>
        <v>0.83552350948813747</v>
      </c>
      <c r="D453" s="2">
        <v>0</v>
      </c>
      <c r="E453" s="2">
        <v>1</v>
      </c>
      <c r="F453" s="2">
        <v>1</v>
      </c>
      <c r="G453" s="2">
        <v>0</v>
      </c>
      <c r="H453" s="2">
        <v>0</v>
      </c>
      <c r="I453" s="2">
        <v>0</v>
      </c>
      <c r="J453" s="8">
        <f>(data!J453-AVERAGE(data!J:J))/_xlfn.STDEV.S(data!J:J)</f>
        <v>1.0624247229491026</v>
      </c>
      <c r="K453" s="2">
        <v>0</v>
      </c>
      <c r="L453" s="2">
        <v>1</v>
      </c>
      <c r="M453" s="2">
        <v>1</v>
      </c>
      <c r="N453" s="2">
        <v>1</v>
      </c>
      <c r="O453" s="2">
        <v>0</v>
      </c>
      <c r="P453" s="2">
        <v>1</v>
      </c>
      <c r="Q453" s="2">
        <v>0</v>
      </c>
      <c r="R453" s="2">
        <v>0</v>
      </c>
      <c r="S453" s="6" cm="1">
        <f t="array" ref="S453">$Y$2+MMULT(C453:R453,$Y$3:$Y$18)</f>
        <v>-2.4691015370520204</v>
      </c>
      <c r="T453" s="7">
        <f t="shared" si="15"/>
        <v>7.805286456995153E-2</v>
      </c>
      <c r="U453" s="3">
        <f t="shared" si="14"/>
        <v>0</v>
      </c>
    </row>
    <row r="454" spans="1:21">
      <c r="A454" s="2">
        <v>453</v>
      </c>
      <c r="B454" s="2">
        <v>0</v>
      </c>
      <c r="C454" s="8">
        <f>(data!C454-AVERAGE(data!C:C))/_xlfn.STDEV.S(data!C:C)</f>
        <v>-1.1386477244616813</v>
      </c>
      <c r="D454" s="2">
        <v>1</v>
      </c>
      <c r="E454" s="2">
        <v>1</v>
      </c>
      <c r="F454" s="2">
        <v>0</v>
      </c>
      <c r="G454" s="2">
        <v>0</v>
      </c>
      <c r="H454" s="2">
        <v>0</v>
      </c>
      <c r="I454" s="2">
        <v>0</v>
      </c>
      <c r="J454" s="8">
        <f>(data!J454-AVERAGE(data!J:J))/_xlfn.STDEV.S(data!J:J)</f>
        <v>-0.56065726673658578</v>
      </c>
      <c r="K454" s="2">
        <v>1</v>
      </c>
      <c r="L454" s="2">
        <v>1</v>
      </c>
      <c r="M454" s="2">
        <v>0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 s="6" cm="1">
        <f t="array" ref="S454">$Y$2+MMULT(C454:R454,$Y$3:$Y$18)</f>
        <v>-12.254083881271002</v>
      </c>
      <c r="T454" s="7">
        <f t="shared" si="15"/>
        <v>4.7655926788854904E-6</v>
      </c>
      <c r="U454" s="3">
        <f t="shared" si="14"/>
        <v>0</v>
      </c>
    </row>
    <row r="455" spans="1:21">
      <c r="A455" s="2">
        <v>454</v>
      </c>
      <c r="B455" s="2">
        <v>1</v>
      </c>
      <c r="C455" s="8">
        <f>(data!C455-AVERAGE(data!C:C))/_xlfn.STDEV.S(data!C:C)</f>
        <v>1.6755963749986986</v>
      </c>
      <c r="D455" s="2">
        <v>1</v>
      </c>
      <c r="E455" s="2">
        <v>1</v>
      </c>
      <c r="F455" s="2">
        <v>0</v>
      </c>
      <c r="G455" s="2">
        <v>1</v>
      </c>
      <c r="H455" s="2">
        <v>0</v>
      </c>
      <c r="I455" s="2">
        <v>0</v>
      </c>
      <c r="J455" s="8">
        <f>(data!J455-AVERAGE(data!J:J))/_xlfn.STDEV.S(data!J:J)</f>
        <v>-0.78198662896645244</v>
      </c>
      <c r="K455" s="2">
        <v>1</v>
      </c>
      <c r="L455" s="2">
        <v>0</v>
      </c>
      <c r="M455" s="2">
        <v>1</v>
      </c>
      <c r="N455" s="2">
        <v>1</v>
      </c>
      <c r="O455" s="2">
        <v>1</v>
      </c>
      <c r="P455" s="2">
        <v>1</v>
      </c>
      <c r="Q455" s="2">
        <v>0</v>
      </c>
      <c r="R455" s="2">
        <v>0</v>
      </c>
      <c r="S455" s="6" cm="1">
        <f t="array" ref="S455">$Y$2+MMULT(C455:R455,$Y$3:$Y$18)</f>
        <v>4.2664718504001105</v>
      </c>
      <c r="T455" s="7">
        <f t="shared" si="15"/>
        <v>0.98616295031304457</v>
      </c>
      <c r="U455" s="3">
        <f t="shared" si="14"/>
        <v>1</v>
      </c>
    </row>
    <row r="456" spans="1:21">
      <c r="A456" s="2">
        <v>455</v>
      </c>
      <c r="B456" s="2">
        <v>0</v>
      </c>
      <c r="C456" s="8">
        <f>(data!C456-AVERAGE(data!C:C))/_xlfn.STDEV.S(data!C:C)</f>
        <v>0.1634652170796885</v>
      </c>
      <c r="D456" s="2">
        <v>1</v>
      </c>
      <c r="E456" s="2">
        <v>1</v>
      </c>
      <c r="F456" s="2">
        <v>0</v>
      </c>
      <c r="G456" s="2">
        <v>0</v>
      </c>
      <c r="H456" s="2">
        <v>0</v>
      </c>
      <c r="I456" s="2">
        <v>0</v>
      </c>
      <c r="J456" s="8">
        <f>(data!J456-AVERAGE(data!J:J))/_xlfn.STDEV.S(data!J:J)</f>
        <v>-1.2984218075028078</v>
      </c>
      <c r="K456" s="2">
        <v>0</v>
      </c>
      <c r="L456" s="2">
        <v>0</v>
      </c>
      <c r="M456" s="2">
        <v>0</v>
      </c>
      <c r="N456" s="2">
        <v>0</v>
      </c>
      <c r="O456" s="2">
        <v>1</v>
      </c>
      <c r="P456" s="2">
        <v>1</v>
      </c>
      <c r="Q456" s="2">
        <v>0</v>
      </c>
      <c r="R456" s="2">
        <v>0</v>
      </c>
      <c r="S456" s="6" cm="1">
        <f t="array" ref="S456">$Y$2+MMULT(C456:R456,$Y$3:$Y$18)</f>
        <v>-5.5896681312049363</v>
      </c>
      <c r="T456" s="7">
        <f t="shared" si="15"/>
        <v>3.7223598769505072E-3</v>
      </c>
      <c r="U456" s="3">
        <f t="shared" si="14"/>
        <v>0</v>
      </c>
    </row>
    <row r="457" spans="1:21">
      <c r="A457" s="2">
        <v>456</v>
      </c>
      <c r="B457" s="2">
        <v>0</v>
      </c>
      <c r="C457" s="8">
        <f>(data!C457-AVERAGE(data!C:C))/_xlfn.STDEV.S(data!C:C)</f>
        <v>-0.46658943205323239</v>
      </c>
      <c r="D457" s="2">
        <v>1</v>
      </c>
      <c r="E457" s="2">
        <v>0</v>
      </c>
      <c r="F457" s="2">
        <v>0</v>
      </c>
      <c r="G457" s="2">
        <v>1</v>
      </c>
      <c r="H457" s="2">
        <v>0</v>
      </c>
      <c r="I457" s="2">
        <v>0</v>
      </c>
      <c r="J457" s="8">
        <f>(data!J457-AVERAGE(data!J:J))/_xlfn.STDEV.S(data!J:J)</f>
        <v>-1.0770924452729411</v>
      </c>
      <c r="K457" s="2">
        <v>0</v>
      </c>
      <c r="L457" s="2">
        <v>0</v>
      </c>
      <c r="M457" s="2">
        <v>0</v>
      </c>
      <c r="N457" s="2">
        <v>0</v>
      </c>
      <c r="O457" s="2">
        <v>1</v>
      </c>
      <c r="P457" s="2">
        <v>1</v>
      </c>
      <c r="Q457" s="2">
        <v>0</v>
      </c>
      <c r="R457" s="2">
        <v>0</v>
      </c>
      <c r="S457" s="6" cm="1">
        <f t="array" ref="S457">$Y$2+MMULT(C457:R457,$Y$3:$Y$18)</f>
        <v>-9.8273136103522258</v>
      </c>
      <c r="T457" s="7">
        <f t="shared" si="15"/>
        <v>5.3954602123194605E-5</v>
      </c>
      <c r="U457" s="3">
        <f t="shared" si="14"/>
        <v>0</v>
      </c>
    </row>
    <row r="458" spans="1:21">
      <c r="A458" s="2">
        <v>457</v>
      </c>
      <c r="B458" s="2">
        <v>0</v>
      </c>
      <c r="C458" s="8">
        <f>(data!C458-AVERAGE(data!C:C))/_xlfn.STDEV.S(data!C:C)</f>
        <v>-0.55059671860428849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8">
        <f>(data!J458-AVERAGE(data!J:J))/_xlfn.STDEV.S(data!J:J)</f>
        <v>2.0215186259451912</v>
      </c>
      <c r="K458" s="2">
        <v>0</v>
      </c>
      <c r="L458" s="2">
        <v>0</v>
      </c>
      <c r="M458" s="2">
        <v>0</v>
      </c>
      <c r="N458" s="2">
        <v>1</v>
      </c>
      <c r="O458" s="2">
        <v>1</v>
      </c>
      <c r="P458" s="2">
        <v>1</v>
      </c>
      <c r="Q458" s="2">
        <v>0</v>
      </c>
      <c r="R458" s="2">
        <v>0</v>
      </c>
      <c r="S458" s="6" cm="1">
        <f t="array" ref="S458">$Y$2+MMULT(C458:R458,$Y$3:$Y$18)</f>
        <v>-8.3934222654906101</v>
      </c>
      <c r="T458" s="7">
        <f t="shared" si="15"/>
        <v>2.263000937178024E-4</v>
      </c>
      <c r="U458" s="3">
        <f t="shared" si="14"/>
        <v>0</v>
      </c>
    </row>
    <row r="459" spans="1:21">
      <c r="A459" s="2">
        <v>458</v>
      </c>
      <c r="B459" s="2">
        <v>0</v>
      </c>
      <c r="C459" s="8">
        <f>(data!C459-AVERAGE(data!C:C))/_xlfn.STDEV.S(data!C:C)</f>
        <v>0.20546886035521655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8">
        <f>(data!J459-AVERAGE(data!J:J))/_xlfn.STDEV.S(data!J:J)</f>
        <v>-0.85576308304307458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1</v>
      </c>
      <c r="Q459" s="2">
        <v>0</v>
      </c>
      <c r="R459" s="2">
        <v>0</v>
      </c>
      <c r="S459" s="6" cm="1">
        <f t="array" ref="S459">$Y$2+MMULT(C459:R459,$Y$3:$Y$18)</f>
        <v>-6.8342288896572505</v>
      </c>
      <c r="T459" s="7">
        <f t="shared" si="15"/>
        <v>1.0751397694038726E-3</v>
      </c>
      <c r="U459" s="3">
        <f t="shared" si="14"/>
        <v>0</v>
      </c>
    </row>
    <row r="460" spans="1:21">
      <c r="A460" s="2">
        <v>459</v>
      </c>
      <c r="B460" s="2">
        <v>0</v>
      </c>
      <c r="C460" s="8">
        <f>(data!C460-AVERAGE(data!C:C))/_xlfn.STDEV.S(data!C:C)</f>
        <v>1.1295490124168339</v>
      </c>
      <c r="D460" s="2">
        <v>1</v>
      </c>
      <c r="E460" s="2">
        <v>0</v>
      </c>
      <c r="F460" s="2">
        <v>1</v>
      </c>
      <c r="G460" s="2">
        <v>1</v>
      </c>
      <c r="H460" s="2">
        <v>0</v>
      </c>
      <c r="I460" s="2">
        <v>0</v>
      </c>
      <c r="J460" s="8">
        <f>(data!J460-AVERAGE(data!J:J))/_xlfn.STDEV.S(data!J:J)</f>
        <v>-0.26555145043009704</v>
      </c>
      <c r="K460" s="2">
        <v>0</v>
      </c>
      <c r="L460" s="2">
        <v>0</v>
      </c>
      <c r="M460" s="2">
        <v>1</v>
      </c>
      <c r="N460" s="2">
        <v>1</v>
      </c>
      <c r="O460" s="2">
        <v>1</v>
      </c>
      <c r="P460" s="2">
        <v>1</v>
      </c>
      <c r="Q460" s="2">
        <v>0</v>
      </c>
      <c r="R460" s="2">
        <v>0</v>
      </c>
      <c r="S460" s="6" cm="1">
        <f t="array" ref="S460">$Y$2+MMULT(C460:R460,$Y$3:$Y$18)</f>
        <v>0.59965258180201175</v>
      </c>
      <c r="T460" s="7">
        <f t="shared" si="15"/>
        <v>0.64557681839567294</v>
      </c>
      <c r="U460" s="3">
        <f t="shared" si="14"/>
        <v>1</v>
      </c>
    </row>
    <row r="461" spans="1:21">
      <c r="A461" s="2">
        <v>460</v>
      </c>
      <c r="B461" s="2">
        <v>0</v>
      </c>
      <c r="C461" s="8">
        <f>(data!C461-AVERAGE(data!C:C))/_xlfn.STDEV.S(data!C:C)</f>
        <v>-1.4326732273903777</v>
      </c>
      <c r="D461" s="2">
        <v>1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8">
        <f>(data!J461-AVERAGE(data!J:J))/_xlfn.STDEV.S(data!J:J)</f>
        <v>-4.4222088200230422E-2</v>
      </c>
      <c r="K461" s="2">
        <v>0</v>
      </c>
      <c r="L461" s="2">
        <v>1</v>
      </c>
      <c r="M461" s="2">
        <v>0</v>
      </c>
      <c r="N461" s="2">
        <v>1</v>
      </c>
      <c r="O461" s="2">
        <v>0</v>
      </c>
      <c r="P461" s="2">
        <v>1</v>
      </c>
      <c r="Q461" s="2">
        <v>0</v>
      </c>
      <c r="R461" s="2">
        <v>0</v>
      </c>
      <c r="S461" s="6" cm="1">
        <f t="array" ref="S461">$Y$2+MMULT(C461:R461,$Y$3:$Y$18)</f>
        <v>-17.235553169246792</v>
      </c>
      <c r="T461" s="7">
        <f t="shared" si="15"/>
        <v>3.2711039979898526E-8</v>
      </c>
      <c r="U461" s="3">
        <f t="shared" si="14"/>
        <v>0</v>
      </c>
    </row>
    <row r="462" spans="1:21">
      <c r="A462" s="2">
        <v>461</v>
      </c>
      <c r="B462" s="2">
        <v>0</v>
      </c>
      <c r="C462" s="8">
        <f>(data!C462-AVERAGE(data!C:C))/_xlfn.STDEV.S(data!C:C)</f>
        <v>0.12146157380416044</v>
      </c>
      <c r="D462" s="2">
        <v>1</v>
      </c>
      <c r="E462" s="2">
        <v>1</v>
      </c>
      <c r="F462" s="2">
        <v>0</v>
      </c>
      <c r="G462" s="2">
        <v>1</v>
      </c>
      <c r="H462" s="2">
        <v>0</v>
      </c>
      <c r="I462" s="2">
        <v>0</v>
      </c>
      <c r="J462" s="8">
        <f>(data!J462-AVERAGE(data!J:J))/_xlfn.STDEV.S(data!J:J)</f>
        <v>0.61976599848936942</v>
      </c>
      <c r="K462" s="2">
        <v>1</v>
      </c>
      <c r="L462" s="2">
        <v>0</v>
      </c>
      <c r="M462" s="2">
        <v>1</v>
      </c>
      <c r="N462" s="2">
        <v>1</v>
      </c>
      <c r="O462" s="2">
        <v>1</v>
      </c>
      <c r="P462" s="2">
        <v>1</v>
      </c>
      <c r="Q462" s="2">
        <v>0</v>
      </c>
      <c r="R462" s="2">
        <v>0</v>
      </c>
      <c r="S462" s="6" cm="1">
        <f t="array" ref="S462">$Y$2+MMULT(C462:R462,$Y$3:$Y$18)</f>
        <v>-4.1647148254115685</v>
      </c>
      <c r="T462" s="7">
        <f t="shared" si="15"/>
        <v>1.5296525774377068E-2</v>
      </c>
      <c r="U462" s="3">
        <f t="shared" si="14"/>
        <v>0</v>
      </c>
    </row>
    <row r="463" spans="1:21">
      <c r="A463" s="2">
        <v>462</v>
      </c>
      <c r="B463" s="2">
        <v>0</v>
      </c>
      <c r="C463" s="8">
        <f>(data!C463-AVERAGE(data!C:C))/_xlfn.STDEV.S(data!C:C)</f>
        <v>-0.67660764843087262</v>
      </c>
      <c r="D463" s="2">
        <v>1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8">
        <f>(data!J463-AVERAGE(data!J:J))/_xlfn.STDEV.S(data!J:J)</f>
        <v>0.10333081995301398</v>
      </c>
      <c r="K463" s="2">
        <v>0</v>
      </c>
      <c r="L463" s="2">
        <v>1</v>
      </c>
      <c r="M463" s="2">
        <v>0</v>
      </c>
      <c r="N463" s="2">
        <v>0</v>
      </c>
      <c r="O463" s="2">
        <v>0</v>
      </c>
      <c r="P463" s="2">
        <v>1</v>
      </c>
      <c r="Q463" s="2">
        <v>0</v>
      </c>
      <c r="R463" s="2">
        <v>0</v>
      </c>
      <c r="S463" s="6" cm="1">
        <f t="array" ref="S463">$Y$2+MMULT(C463:R463,$Y$3:$Y$18)</f>
        <v>-12.179762204015866</v>
      </c>
      <c r="T463" s="7">
        <f t="shared" si="15"/>
        <v>5.1332717332513379E-6</v>
      </c>
      <c r="U463" s="3">
        <f t="shared" si="14"/>
        <v>0</v>
      </c>
    </row>
    <row r="464" spans="1:21">
      <c r="A464" s="2">
        <v>463</v>
      </c>
      <c r="B464" s="2">
        <v>0</v>
      </c>
      <c r="C464" s="8">
        <f>(data!C464-AVERAGE(data!C:C))/_xlfn.STDEV.S(data!C:C)</f>
        <v>-0.84462222153298494</v>
      </c>
      <c r="D464" s="2">
        <v>0</v>
      </c>
      <c r="E464" s="2">
        <v>0</v>
      </c>
      <c r="F464" s="2">
        <v>0</v>
      </c>
      <c r="G464" s="2">
        <v>1</v>
      </c>
      <c r="H464" s="2">
        <v>0</v>
      </c>
      <c r="I464" s="2">
        <v>0</v>
      </c>
      <c r="J464" s="8">
        <f>(data!J464-AVERAGE(data!J:J))/_xlfn.STDEV.S(data!J:J)</f>
        <v>0.17710727402963619</v>
      </c>
      <c r="K464" s="2">
        <v>0</v>
      </c>
      <c r="L464" s="2">
        <v>1</v>
      </c>
      <c r="M464" s="2">
        <v>0</v>
      </c>
      <c r="N464" s="2">
        <v>0</v>
      </c>
      <c r="O464" s="2">
        <v>1</v>
      </c>
      <c r="P464" s="2">
        <v>1</v>
      </c>
      <c r="Q464" s="2">
        <v>1</v>
      </c>
      <c r="R464" s="2">
        <v>0</v>
      </c>
      <c r="S464" s="6" cm="1">
        <f t="array" ref="S464">$Y$2+MMULT(C464:R464,$Y$3:$Y$18)</f>
        <v>-11.364133136595722</v>
      </c>
      <c r="T464" s="7">
        <f t="shared" si="15"/>
        <v>1.160418509522049E-5</v>
      </c>
      <c r="U464" s="3">
        <f t="shared" si="14"/>
        <v>0</v>
      </c>
    </row>
    <row r="465" spans="1:21">
      <c r="A465" s="2">
        <v>464</v>
      </c>
      <c r="B465" s="2">
        <v>0</v>
      </c>
      <c r="C465" s="8">
        <f>(data!C465-AVERAGE(data!C:C))/_xlfn.STDEV.S(data!C:C)</f>
        <v>-1.3066622975637936</v>
      </c>
      <c r="D465" s="2">
        <v>1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8">
        <f>(data!J465-AVERAGE(data!J:J))/_xlfn.STDEV.S(data!J:J)</f>
        <v>-0.41310435858334144</v>
      </c>
      <c r="K465" s="2">
        <v>0</v>
      </c>
      <c r="L465" s="2">
        <v>1</v>
      </c>
      <c r="M465" s="2">
        <v>0</v>
      </c>
      <c r="N465" s="2">
        <v>1</v>
      </c>
      <c r="O465" s="2">
        <v>0</v>
      </c>
      <c r="P465" s="2">
        <v>1</v>
      </c>
      <c r="Q465" s="2">
        <v>0</v>
      </c>
      <c r="R465" s="2">
        <v>0</v>
      </c>
      <c r="S465" s="6" cm="1">
        <f t="array" ref="S465">$Y$2+MMULT(C465:R465,$Y$3:$Y$18)</f>
        <v>-16.703342170778029</v>
      </c>
      <c r="T465" s="7">
        <f t="shared" si="15"/>
        <v>5.5696851008100085E-8</v>
      </c>
      <c r="U465" s="3">
        <f t="shared" si="14"/>
        <v>0</v>
      </c>
    </row>
    <row r="466" spans="1:21">
      <c r="A466" s="2">
        <v>465</v>
      </c>
      <c r="B466" s="2">
        <v>0</v>
      </c>
      <c r="C466" s="8">
        <f>(data!C466-AVERAGE(data!C:C))/_xlfn.STDEV.S(data!C:C)</f>
        <v>-1.0126367946350971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8">
        <f>(data!J466-AVERAGE(data!J:J))/_xlfn.STDEV.S(data!J:J)</f>
        <v>-1.003315991196319</v>
      </c>
      <c r="K466" s="2">
        <v>0</v>
      </c>
      <c r="L466" s="2">
        <v>0</v>
      </c>
      <c r="M466" s="2">
        <v>0</v>
      </c>
      <c r="N466" s="2">
        <v>1</v>
      </c>
      <c r="O466" s="2">
        <v>1</v>
      </c>
      <c r="P466" s="2">
        <v>1</v>
      </c>
      <c r="Q466" s="2">
        <v>0</v>
      </c>
      <c r="R466" s="2">
        <v>0</v>
      </c>
      <c r="S466" s="6" cm="1">
        <f t="array" ref="S466">$Y$2+MMULT(C466:R466,$Y$3:$Y$18)</f>
        <v>-12.941508554063979</v>
      </c>
      <c r="T466" s="7">
        <f t="shared" si="15"/>
        <v>2.3964766769038548E-6</v>
      </c>
      <c r="U466" s="3">
        <f t="shared" si="14"/>
        <v>0</v>
      </c>
    </row>
    <row r="467" spans="1:21">
      <c r="A467" s="2">
        <v>466</v>
      </c>
      <c r="B467" s="2">
        <v>0</v>
      </c>
      <c r="C467" s="8">
        <f>(data!C467-AVERAGE(data!C:C))/_xlfn.STDEV.S(data!C:C)</f>
        <v>-0.21456757240006402</v>
      </c>
      <c r="D467" s="2">
        <v>0</v>
      </c>
      <c r="E467" s="2">
        <v>0</v>
      </c>
      <c r="F467" s="2">
        <v>1</v>
      </c>
      <c r="G467" s="2">
        <v>0</v>
      </c>
      <c r="H467" s="2">
        <v>0</v>
      </c>
      <c r="I467" s="2">
        <v>0</v>
      </c>
      <c r="J467" s="8">
        <f>(data!J467-AVERAGE(data!J:J))/_xlfn.STDEV.S(data!J:J)</f>
        <v>-0.63443372081320804</v>
      </c>
      <c r="K467" s="2">
        <v>0</v>
      </c>
      <c r="L467" s="2">
        <v>0</v>
      </c>
      <c r="M467" s="2">
        <v>0</v>
      </c>
      <c r="N467" s="2">
        <v>0</v>
      </c>
      <c r="O467" s="2">
        <v>1</v>
      </c>
      <c r="P467" s="2">
        <v>1</v>
      </c>
      <c r="Q467" s="2">
        <v>0</v>
      </c>
      <c r="R467" s="2">
        <v>0</v>
      </c>
      <c r="S467" s="6" cm="1">
        <f t="array" ref="S467">$Y$2+MMULT(C467:R467,$Y$3:$Y$18)</f>
        <v>-8.1062060675088325</v>
      </c>
      <c r="T467" s="7">
        <f t="shared" si="15"/>
        <v>3.0157021504017396E-4</v>
      </c>
      <c r="U467" s="3">
        <f t="shared" si="14"/>
        <v>0</v>
      </c>
    </row>
    <row r="468" spans="1:21">
      <c r="A468" s="2">
        <v>467</v>
      </c>
      <c r="B468" s="2">
        <v>0</v>
      </c>
      <c r="C468" s="8">
        <f>(data!C468-AVERAGE(data!C:C))/_xlfn.STDEV.S(data!C:C)</f>
        <v>-0.84462222153298494</v>
      </c>
      <c r="D468" s="2">
        <v>1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8">
        <f>(data!J468-AVERAGE(data!J:J))/_xlfn.STDEV.S(data!J:J)</f>
        <v>1.7264128096387024</v>
      </c>
      <c r="K468" s="2">
        <v>0</v>
      </c>
      <c r="L468" s="2">
        <v>0</v>
      </c>
      <c r="M468" s="2">
        <v>0</v>
      </c>
      <c r="N468" s="2">
        <v>1</v>
      </c>
      <c r="O468" s="2">
        <v>1</v>
      </c>
      <c r="P468" s="2">
        <v>1</v>
      </c>
      <c r="Q468" s="2">
        <v>0</v>
      </c>
      <c r="R468" s="2">
        <v>0</v>
      </c>
      <c r="S468" s="6" cm="1">
        <f t="array" ref="S468">$Y$2+MMULT(C468:R468,$Y$3:$Y$18)</f>
        <v>-10.141705846784282</v>
      </c>
      <c r="T468" s="7">
        <f t="shared" si="15"/>
        <v>3.9399980068326591E-5</v>
      </c>
      <c r="U468" s="3">
        <f t="shared" si="14"/>
        <v>0</v>
      </c>
    </row>
    <row r="469" spans="1:21">
      <c r="A469" s="2">
        <v>468</v>
      </c>
      <c r="B469" s="2">
        <v>0</v>
      </c>
      <c r="C469" s="8">
        <f>(data!C469-AVERAGE(data!C:C))/_xlfn.STDEV.S(data!C:C)</f>
        <v>-8.8556642573479852E-2</v>
      </c>
      <c r="D469" s="2">
        <v>0</v>
      </c>
      <c r="E469" s="2">
        <v>1</v>
      </c>
      <c r="F469" s="2">
        <v>1</v>
      </c>
      <c r="G469" s="2">
        <v>0</v>
      </c>
      <c r="H469" s="2">
        <v>0</v>
      </c>
      <c r="I469" s="2">
        <v>0</v>
      </c>
      <c r="J469" s="8">
        <f>(data!J469-AVERAGE(data!J:J))/_xlfn.STDEV.S(data!J:J)</f>
        <v>-1.0770924452729411</v>
      </c>
      <c r="K469" s="2">
        <v>0</v>
      </c>
      <c r="L469" s="2">
        <v>1</v>
      </c>
      <c r="M469" s="2">
        <v>0</v>
      </c>
      <c r="N469" s="2">
        <v>1</v>
      </c>
      <c r="O469" s="2">
        <v>1</v>
      </c>
      <c r="P469" s="2">
        <v>1</v>
      </c>
      <c r="Q469" s="2">
        <v>0</v>
      </c>
      <c r="R469" s="2">
        <v>0</v>
      </c>
      <c r="S469" s="6" cm="1">
        <f t="array" ref="S469">$Y$2+MMULT(C469:R469,$Y$3:$Y$18)</f>
        <v>-9.0402470804062816</v>
      </c>
      <c r="T469" s="7">
        <f t="shared" si="15"/>
        <v>1.1852749311091026E-4</v>
      </c>
      <c r="U469" s="3">
        <f t="shared" si="14"/>
        <v>0</v>
      </c>
    </row>
    <row r="470" spans="1:21">
      <c r="A470" s="2">
        <v>469</v>
      </c>
      <c r="B470" s="2">
        <v>0</v>
      </c>
      <c r="C470" s="8">
        <f>(data!C470-AVERAGE(data!C:C))/_xlfn.STDEV.S(data!C:C)</f>
        <v>0.41548707673285684</v>
      </c>
      <c r="D470" s="2">
        <v>0</v>
      </c>
      <c r="E470" s="2">
        <v>0</v>
      </c>
      <c r="F470" s="2">
        <v>1</v>
      </c>
      <c r="G470" s="2">
        <v>1</v>
      </c>
      <c r="H470" s="2">
        <v>0</v>
      </c>
      <c r="I470" s="2">
        <v>0</v>
      </c>
      <c r="J470" s="8">
        <f>(data!J470-AVERAGE(data!J:J))/_xlfn.STDEV.S(data!J:J)</f>
        <v>-1.003315991196319</v>
      </c>
      <c r="K470" s="2">
        <v>0</v>
      </c>
      <c r="L470" s="2">
        <v>0</v>
      </c>
      <c r="M470" s="2">
        <v>0</v>
      </c>
      <c r="N470" s="2">
        <v>0</v>
      </c>
      <c r="O470" s="2">
        <v>1</v>
      </c>
      <c r="P470" s="2">
        <v>1</v>
      </c>
      <c r="Q470" s="2">
        <v>0</v>
      </c>
      <c r="R470" s="2">
        <v>0</v>
      </c>
      <c r="S470" s="6" cm="1">
        <f t="array" ref="S470">$Y$2+MMULT(C470:R470,$Y$3:$Y$18)</f>
        <v>-5.3076396108481649</v>
      </c>
      <c r="T470" s="7">
        <f t="shared" si="15"/>
        <v>4.9291881128643456E-3</v>
      </c>
      <c r="U470" s="3">
        <f t="shared" si="14"/>
        <v>0</v>
      </c>
    </row>
    <row r="471" spans="1:21">
      <c r="A471" s="2">
        <v>470</v>
      </c>
      <c r="B471" s="2">
        <v>0</v>
      </c>
      <c r="C471" s="8">
        <f>(data!C471-AVERAGE(data!C:C))/_xlfn.STDEV.S(data!C:C)</f>
        <v>3.7454287253104325E-2</v>
      </c>
      <c r="D471" s="2">
        <v>1</v>
      </c>
      <c r="E471" s="2">
        <v>0</v>
      </c>
      <c r="F471" s="2">
        <v>0</v>
      </c>
      <c r="G471" s="2">
        <v>1</v>
      </c>
      <c r="H471" s="2">
        <v>0</v>
      </c>
      <c r="I471" s="2">
        <v>0</v>
      </c>
      <c r="J471" s="8">
        <f>(data!J471-AVERAGE(data!J:J))/_xlfn.STDEV.S(data!J:J)</f>
        <v>-0.85576308304307458</v>
      </c>
      <c r="K471" s="2">
        <v>0</v>
      </c>
      <c r="L471" s="2">
        <v>0</v>
      </c>
      <c r="M471" s="2">
        <v>0</v>
      </c>
      <c r="N471" s="2">
        <v>1</v>
      </c>
      <c r="O471" s="2">
        <v>1</v>
      </c>
      <c r="P471" s="2">
        <v>1</v>
      </c>
      <c r="Q471" s="2">
        <v>0</v>
      </c>
      <c r="R471" s="2">
        <v>0</v>
      </c>
      <c r="S471" s="6" cm="1">
        <f t="array" ref="S471">$Y$2+MMULT(C471:R471,$Y$3:$Y$18)</f>
        <v>-7.1539913125752639</v>
      </c>
      <c r="T471" s="7">
        <f t="shared" si="15"/>
        <v>7.8112705033921506E-4</v>
      </c>
      <c r="U471" s="3">
        <f t="shared" si="14"/>
        <v>0</v>
      </c>
    </row>
    <row r="472" spans="1:21">
      <c r="A472" s="2">
        <v>471</v>
      </c>
      <c r="B472" s="2">
        <v>0</v>
      </c>
      <c r="C472" s="8">
        <f>(data!C472-AVERAGE(data!C:C))/_xlfn.STDEV.S(data!C:C)</f>
        <v>-1.0126367946350971</v>
      </c>
      <c r="D472" s="2">
        <v>1</v>
      </c>
      <c r="E472" s="2">
        <v>0</v>
      </c>
      <c r="F472" s="2">
        <v>0</v>
      </c>
      <c r="G472" s="2">
        <v>0</v>
      </c>
      <c r="H472" s="2">
        <v>1</v>
      </c>
      <c r="I472" s="2">
        <v>0</v>
      </c>
      <c r="J472" s="8">
        <f>(data!J472-AVERAGE(data!J:J))/_xlfn.STDEV.S(data!J:J)</f>
        <v>2.9806125289412799</v>
      </c>
      <c r="K472" s="2">
        <v>0</v>
      </c>
      <c r="L472" s="2">
        <v>1</v>
      </c>
      <c r="M472" s="2">
        <v>0</v>
      </c>
      <c r="N472" s="2">
        <v>1</v>
      </c>
      <c r="O472" s="2">
        <v>0</v>
      </c>
      <c r="P472" s="2">
        <v>1</v>
      </c>
      <c r="Q472" s="2">
        <v>0</v>
      </c>
      <c r="R472" s="2">
        <v>0</v>
      </c>
      <c r="S472" s="6" cm="1">
        <f t="array" ref="S472">$Y$2+MMULT(C472:R472,$Y$3:$Y$18)</f>
        <v>-15.794865209065692</v>
      </c>
      <c r="T472" s="7">
        <f t="shared" si="15"/>
        <v>1.3815834981077965E-7</v>
      </c>
      <c r="U472" s="3">
        <f t="shared" si="14"/>
        <v>0</v>
      </c>
    </row>
    <row r="473" spans="1:21">
      <c r="A473" s="2">
        <v>472</v>
      </c>
      <c r="B473" s="2">
        <v>0</v>
      </c>
      <c r="C473" s="8">
        <f>(data!C473-AVERAGE(data!C:C))/_xlfn.STDEV.S(data!C:C)</f>
        <v>-1.4326732273903777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8">
        <f>(data!J473-AVERAGE(data!J:J))/_xlfn.STDEV.S(data!J:J)</f>
        <v>-0.19177499635347484</v>
      </c>
      <c r="K473" s="2">
        <v>0</v>
      </c>
      <c r="L473" s="2">
        <v>1</v>
      </c>
      <c r="M473" s="2">
        <v>0</v>
      </c>
      <c r="N473" s="2">
        <v>1</v>
      </c>
      <c r="O473" s="2">
        <v>0</v>
      </c>
      <c r="P473" s="2">
        <v>1</v>
      </c>
      <c r="Q473" s="2">
        <v>0</v>
      </c>
      <c r="R473" s="2">
        <v>0</v>
      </c>
      <c r="S473" s="6" cm="1">
        <f t="array" ref="S473">$Y$2+MMULT(C473:R473,$Y$3:$Y$18)</f>
        <v>-17.50225387984068</v>
      </c>
      <c r="T473" s="7">
        <f t="shared" si="15"/>
        <v>2.5053459757159559E-8</v>
      </c>
      <c r="U473" s="3">
        <f t="shared" si="14"/>
        <v>0</v>
      </c>
    </row>
    <row r="474" spans="1:21">
      <c r="A474" s="2">
        <v>473</v>
      </c>
      <c r="B474" s="2">
        <v>1</v>
      </c>
      <c r="C474" s="8">
        <f>(data!C474-AVERAGE(data!C:C))/_xlfn.STDEV.S(data!C:C)</f>
        <v>-4.5493560224237357E-3</v>
      </c>
      <c r="D474" s="2">
        <v>1</v>
      </c>
      <c r="E474" s="2">
        <v>1</v>
      </c>
      <c r="F474" s="2">
        <v>0</v>
      </c>
      <c r="G474" s="2">
        <v>0</v>
      </c>
      <c r="H474" s="2">
        <v>0</v>
      </c>
      <c r="I474" s="2">
        <v>0</v>
      </c>
      <c r="J474" s="8">
        <f>(data!J474-AVERAGE(data!J:J))/_xlfn.STDEV.S(data!J:J)</f>
        <v>-0.19177499635347484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>
        <v>1</v>
      </c>
      <c r="Q474" s="2">
        <v>1</v>
      </c>
      <c r="R474" s="2">
        <v>0</v>
      </c>
      <c r="S474" s="6" cm="1">
        <f t="array" ref="S474">$Y$2+MMULT(C474:R474,$Y$3:$Y$18)</f>
        <v>-4.5079231084404912</v>
      </c>
      <c r="T474" s="7">
        <f t="shared" si="15"/>
        <v>1.0901181046365888E-2</v>
      </c>
      <c r="U474" s="3">
        <f t="shared" si="14"/>
        <v>0</v>
      </c>
    </row>
    <row r="475" spans="1:21">
      <c r="A475" s="2">
        <v>474</v>
      </c>
      <c r="B475" s="2">
        <v>0</v>
      </c>
      <c r="C475" s="8">
        <f>(data!C475-AVERAGE(data!C:C))/_xlfn.STDEV.S(data!C:C)</f>
        <v>-0.92862950808404099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8">
        <f>(data!J475-AVERAGE(data!J:J))/_xlfn.STDEV.S(data!J:J)</f>
        <v>-1.0770924452729411</v>
      </c>
      <c r="K475" s="2">
        <v>0</v>
      </c>
      <c r="L475" s="2">
        <v>0</v>
      </c>
      <c r="M475" s="2">
        <v>0</v>
      </c>
      <c r="N475" s="2">
        <v>0</v>
      </c>
      <c r="O475" s="2">
        <v>1</v>
      </c>
      <c r="P475" s="2">
        <v>1</v>
      </c>
      <c r="Q475" s="2">
        <v>0</v>
      </c>
      <c r="R475" s="2">
        <v>0</v>
      </c>
      <c r="S475" s="6" cm="1">
        <f t="array" ref="S475">$Y$2+MMULT(C475:R475,$Y$3:$Y$18)</f>
        <v>-12.022499227760413</v>
      </c>
      <c r="T475" s="7">
        <f t="shared" si="15"/>
        <v>6.0074797792549121E-6</v>
      </c>
      <c r="U475" s="3">
        <f t="shared" si="14"/>
        <v>0</v>
      </c>
    </row>
    <row r="476" spans="1:21">
      <c r="A476" s="2">
        <v>475</v>
      </c>
      <c r="B476" s="2">
        <v>0</v>
      </c>
      <c r="C476" s="8">
        <f>(data!C476-AVERAGE(data!C:C))/_xlfn.STDEV.S(data!C:C)</f>
        <v>-4.5493560224237357E-3</v>
      </c>
      <c r="D476" s="2">
        <v>1</v>
      </c>
      <c r="E476" s="2">
        <v>1</v>
      </c>
      <c r="F476" s="2">
        <v>1</v>
      </c>
      <c r="G476" s="2">
        <v>1</v>
      </c>
      <c r="H476" s="2">
        <v>0</v>
      </c>
      <c r="I476" s="2">
        <v>0</v>
      </c>
      <c r="J476" s="8">
        <f>(data!J476-AVERAGE(data!J:J))/_xlfn.STDEV.S(data!J:J)</f>
        <v>-1.2984218075028078</v>
      </c>
      <c r="K476" s="2">
        <v>1</v>
      </c>
      <c r="L476" s="2">
        <v>0</v>
      </c>
      <c r="M476" s="2">
        <v>0</v>
      </c>
      <c r="N476" s="2">
        <v>0</v>
      </c>
      <c r="O476" s="2">
        <v>1</v>
      </c>
      <c r="P476" s="2">
        <v>1</v>
      </c>
      <c r="Q476" s="2">
        <v>0</v>
      </c>
      <c r="R476" s="2">
        <v>0</v>
      </c>
      <c r="S476" s="6" cm="1">
        <f t="array" ref="S476">$Y$2+MMULT(C476:R476,$Y$3:$Y$18)</f>
        <v>-7.6903713287993511</v>
      </c>
      <c r="T476" s="7">
        <f t="shared" si="15"/>
        <v>4.5699942161798481E-4</v>
      </c>
      <c r="U476" s="3">
        <f t="shared" si="14"/>
        <v>0</v>
      </c>
    </row>
    <row r="477" spans="1:21">
      <c r="A477" s="2">
        <v>476</v>
      </c>
      <c r="B477" s="2">
        <v>0</v>
      </c>
      <c r="C477" s="8">
        <f>(data!C477-AVERAGE(data!C:C))/_xlfn.STDEV.S(data!C:C)</f>
        <v>-0.2565712156755921</v>
      </c>
      <c r="D477" s="2">
        <v>1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8">
        <f>(data!J477-AVERAGE(data!J:J))/_xlfn.STDEV.S(data!J:J)</f>
        <v>-1.0770924452729411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1</v>
      </c>
      <c r="Q477" s="2">
        <v>0</v>
      </c>
      <c r="R477" s="2">
        <v>0</v>
      </c>
      <c r="S477" s="6" cm="1">
        <f t="array" ref="S477">$Y$2+MMULT(C477:R477,$Y$3:$Y$18)</f>
        <v>-9.5401214127362088</v>
      </c>
      <c r="T477" s="7">
        <f t="shared" si="15"/>
        <v>7.190294616068496E-5</v>
      </c>
      <c r="U477" s="3">
        <f t="shared" si="14"/>
        <v>0</v>
      </c>
    </row>
    <row r="478" spans="1:21">
      <c r="A478" s="2">
        <v>477</v>
      </c>
      <c r="B478" s="2">
        <v>0</v>
      </c>
      <c r="C478" s="8">
        <f>(data!C478-AVERAGE(data!C:C))/_xlfn.STDEV.S(data!C:C)</f>
        <v>0.5835016498349691</v>
      </c>
      <c r="D478" s="2">
        <v>1</v>
      </c>
      <c r="E478" s="2">
        <v>0</v>
      </c>
      <c r="F478" s="2">
        <v>1</v>
      </c>
      <c r="G478" s="2">
        <v>1</v>
      </c>
      <c r="H478" s="2">
        <v>0</v>
      </c>
      <c r="I478" s="2">
        <v>0</v>
      </c>
      <c r="J478" s="8">
        <f>(data!J478-AVERAGE(data!J:J))/_xlfn.STDEV.S(data!J:J)</f>
        <v>2.0215186259451912</v>
      </c>
      <c r="K478" s="2">
        <v>0</v>
      </c>
      <c r="L478" s="2">
        <v>0</v>
      </c>
      <c r="M478" s="2">
        <v>1</v>
      </c>
      <c r="N478" s="2">
        <v>1</v>
      </c>
      <c r="O478" s="2">
        <v>1</v>
      </c>
      <c r="P478" s="2">
        <v>1</v>
      </c>
      <c r="Q478" s="2">
        <v>1</v>
      </c>
      <c r="R478" s="2">
        <v>1</v>
      </c>
      <c r="S478" s="6" cm="1">
        <f t="array" ref="S478">$Y$2+MMULT(C478:R478,$Y$3:$Y$18)</f>
        <v>-9.090707123265318E-2</v>
      </c>
      <c r="T478" s="7">
        <f t="shared" si="15"/>
        <v>0.47728887061670733</v>
      </c>
      <c r="U478" s="3">
        <f t="shared" si="14"/>
        <v>0</v>
      </c>
    </row>
    <row r="479" spans="1:21">
      <c r="A479" s="2">
        <v>478</v>
      </c>
      <c r="B479" s="2">
        <v>0</v>
      </c>
      <c r="C479" s="8">
        <f>(data!C479-AVERAGE(data!C:C))/_xlfn.STDEV.S(data!C:C)</f>
        <v>-0.7186112917064007</v>
      </c>
      <c r="D479" s="2">
        <v>1</v>
      </c>
      <c r="E479" s="2">
        <v>0</v>
      </c>
      <c r="F479" s="2">
        <v>0</v>
      </c>
      <c r="G479" s="2">
        <v>1</v>
      </c>
      <c r="H479" s="2">
        <v>0</v>
      </c>
      <c r="I479" s="2">
        <v>0</v>
      </c>
      <c r="J479" s="8">
        <f>(data!J479-AVERAGE(data!J:J))/_xlfn.STDEV.S(data!J:J)</f>
        <v>-0.70821017488983018</v>
      </c>
      <c r="K479" s="2">
        <v>0</v>
      </c>
      <c r="L479" s="2">
        <v>1</v>
      </c>
      <c r="M479" s="2">
        <v>0</v>
      </c>
      <c r="N479" s="2">
        <v>1</v>
      </c>
      <c r="O479" s="2">
        <v>0</v>
      </c>
      <c r="P479" s="2">
        <v>0</v>
      </c>
      <c r="Q479" s="2">
        <v>0</v>
      </c>
      <c r="R479" s="2">
        <v>0</v>
      </c>
      <c r="S479" s="6" cm="1">
        <f t="array" ref="S479">$Y$2+MMULT(C479:R479,$Y$3:$Y$18)</f>
        <v>-10.692523475553934</v>
      </c>
      <c r="T479" s="7">
        <f t="shared" si="15"/>
        <v>2.2713611459262523E-5</v>
      </c>
      <c r="U479" s="3">
        <f t="shared" si="14"/>
        <v>0</v>
      </c>
    </row>
    <row r="480" spans="1:21">
      <c r="A480" s="2">
        <v>479</v>
      </c>
      <c r="B480" s="2">
        <v>0</v>
      </c>
      <c r="C480" s="8">
        <f>(data!C480-AVERAGE(data!C:C))/_xlfn.STDEV.S(data!C:C)</f>
        <v>0.1634652170796885</v>
      </c>
      <c r="D480" s="2">
        <v>1</v>
      </c>
      <c r="E480" s="2">
        <v>0</v>
      </c>
      <c r="F480" s="2">
        <v>0</v>
      </c>
      <c r="G480" s="2">
        <v>1</v>
      </c>
      <c r="H480" s="2">
        <v>0</v>
      </c>
      <c r="I480" s="2">
        <v>0</v>
      </c>
      <c r="J480" s="8">
        <f>(data!J480-AVERAGE(data!J:J))/_xlfn.STDEV.S(data!J:J)</f>
        <v>-1.003315991196319</v>
      </c>
      <c r="K480" s="2">
        <v>0</v>
      </c>
      <c r="L480" s="2">
        <v>0</v>
      </c>
      <c r="M480" s="2">
        <v>1</v>
      </c>
      <c r="N480" s="2">
        <v>1</v>
      </c>
      <c r="O480" s="2">
        <v>1</v>
      </c>
      <c r="P480" s="2">
        <v>1</v>
      </c>
      <c r="Q480" s="2">
        <v>0</v>
      </c>
      <c r="R480" s="2">
        <v>0</v>
      </c>
      <c r="S480" s="6" cm="1">
        <f t="array" ref="S480">$Y$2+MMULT(C480:R480,$Y$3:$Y$18)</f>
        <v>-4.9937543189595228</v>
      </c>
      <c r="T480" s="7">
        <f t="shared" si="15"/>
        <v>6.7345007551559135E-3</v>
      </c>
      <c r="U480" s="3">
        <f t="shared" si="14"/>
        <v>0</v>
      </c>
    </row>
    <row r="481" spans="1:21">
      <c r="A481" s="2">
        <v>480</v>
      </c>
      <c r="B481" s="2">
        <v>0</v>
      </c>
      <c r="C481" s="8">
        <f>(data!C481-AVERAGE(data!C:C))/_xlfn.STDEV.S(data!C:C)</f>
        <v>-4.5493560224237357E-3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8">
        <f>(data!J481-AVERAGE(data!J:J))/_xlfn.STDEV.S(data!J:J)</f>
        <v>-0.63443372081320804</v>
      </c>
      <c r="K481" s="2">
        <v>0</v>
      </c>
      <c r="L481" s="2">
        <v>0</v>
      </c>
      <c r="M481" s="2">
        <v>0</v>
      </c>
      <c r="N481" s="2">
        <v>0</v>
      </c>
      <c r="O481" s="2">
        <v>1</v>
      </c>
      <c r="P481" s="2">
        <v>1</v>
      </c>
      <c r="Q481" s="2">
        <v>0</v>
      </c>
      <c r="R481" s="2">
        <v>0</v>
      </c>
      <c r="S481" s="6" cm="1">
        <f t="array" ref="S481">$Y$2+MMULT(C481:R481,$Y$3:$Y$18)</f>
        <v>-6.2523675442925573</v>
      </c>
      <c r="T481" s="7">
        <f t="shared" si="15"/>
        <v>1.9221871872777533E-3</v>
      </c>
      <c r="U481" s="3">
        <f t="shared" si="14"/>
        <v>0</v>
      </c>
    </row>
    <row r="482" spans="1:21">
      <c r="A482" s="2">
        <v>481</v>
      </c>
      <c r="B482" s="2">
        <v>1</v>
      </c>
      <c r="C482" s="8">
        <f>(data!C482-AVERAGE(data!C:C))/_xlfn.STDEV.S(data!C:C)</f>
        <v>1.3395672287944742</v>
      </c>
      <c r="D482" s="2">
        <v>0</v>
      </c>
      <c r="E482" s="2">
        <v>1</v>
      </c>
      <c r="F482" s="2">
        <v>1</v>
      </c>
      <c r="G482" s="2">
        <v>0</v>
      </c>
      <c r="H482" s="2">
        <v>0</v>
      </c>
      <c r="I482" s="2">
        <v>0</v>
      </c>
      <c r="J482" s="8">
        <f>(data!J482-AVERAGE(data!J:J))/_xlfn.STDEV.S(data!J:J)</f>
        <v>2.8330596207880352</v>
      </c>
      <c r="K482" s="2">
        <v>1</v>
      </c>
      <c r="L482" s="2">
        <v>0</v>
      </c>
      <c r="M482" s="2">
        <v>1</v>
      </c>
      <c r="N482" s="2">
        <v>0</v>
      </c>
      <c r="O482" s="2">
        <v>1</v>
      </c>
      <c r="P482" s="2">
        <v>1</v>
      </c>
      <c r="Q482" s="2">
        <v>0</v>
      </c>
      <c r="R482" s="2">
        <v>1</v>
      </c>
      <c r="S482" s="6" cm="1">
        <f t="array" ref="S482">$Y$2+MMULT(C482:R482,$Y$3:$Y$18)</f>
        <v>5.046039907516322</v>
      </c>
      <c r="T482" s="7">
        <f t="shared" si="15"/>
        <v>0.99360637614654013</v>
      </c>
      <c r="U482" s="3">
        <f t="shared" si="14"/>
        <v>1</v>
      </c>
    </row>
    <row r="483" spans="1:21">
      <c r="A483" s="2">
        <v>482</v>
      </c>
      <c r="B483" s="2">
        <v>0</v>
      </c>
      <c r="C483" s="8">
        <f>(data!C483-AVERAGE(data!C:C))/_xlfn.STDEV.S(data!C:C)</f>
        <v>-1.0966440811861533</v>
      </c>
      <c r="D483" s="2">
        <v>1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8">
        <f>(data!J483-AVERAGE(data!J:J))/_xlfn.STDEV.S(data!J:J)</f>
        <v>-1.2246453534261856</v>
      </c>
      <c r="K483" s="2">
        <v>0</v>
      </c>
      <c r="L483" s="2">
        <v>1</v>
      </c>
      <c r="M483" s="2">
        <v>0</v>
      </c>
      <c r="N483" s="2">
        <v>1</v>
      </c>
      <c r="O483" s="2">
        <v>0</v>
      </c>
      <c r="P483" s="2">
        <v>1</v>
      </c>
      <c r="Q483" s="2">
        <v>0</v>
      </c>
      <c r="R483" s="2">
        <v>0</v>
      </c>
      <c r="S483" s="6" cm="1">
        <f t="array" ref="S483">$Y$2+MMULT(C483:R483,$Y$3:$Y$18)</f>
        <v>-15.933027029248645</v>
      </c>
      <c r="T483" s="7">
        <f t="shared" si="15"/>
        <v>1.2033008650738601E-7</v>
      </c>
      <c r="U483" s="3">
        <f t="shared" si="14"/>
        <v>0</v>
      </c>
    </row>
    <row r="484" spans="1:21">
      <c r="A484" s="2">
        <v>483</v>
      </c>
      <c r="B484" s="2">
        <v>0</v>
      </c>
      <c r="C484" s="8">
        <f>(data!C484-AVERAGE(data!C:C))/_xlfn.STDEV.S(data!C:C)</f>
        <v>-1.0546404379106251</v>
      </c>
      <c r="D484" s="2">
        <v>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8">
        <f>(data!J484-AVERAGE(data!J:J))/_xlfn.STDEV.S(data!J:J)</f>
        <v>-0.63443372081320804</v>
      </c>
      <c r="K484" s="2">
        <v>0</v>
      </c>
      <c r="L484" s="2">
        <v>1</v>
      </c>
      <c r="M484" s="2">
        <v>0</v>
      </c>
      <c r="N484" s="2">
        <v>1</v>
      </c>
      <c r="O484" s="2">
        <v>1</v>
      </c>
      <c r="P484" s="2">
        <v>1</v>
      </c>
      <c r="Q484" s="2">
        <v>0</v>
      </c>
      <c r="R484" s="2">
        <v>1</v>
      </c>
      <c r="S484" s="6" cm="1">
        <f t="array" ref="S484">$Y$2+MMULT(C484:R484,$Y$3:$Y$18)</f>
        <v>-13.410949131072494</v>
      </c>
      <c r="T484" s="7">
        <f t="shared" si="15"/>
        <v>1.4986428445370345E-6</v>
      </c>
      <c r="U484" s="3">
        <f t="shared" si="14"/>
        <v>0</v>
      </c>
    </row>
    <row r="485" spans="1:21">
      <c r="A485" s="2">
        <v>484</v>
      </c>
      <c r="B485" s="2">
        <v>0</v>
      </c>
      <c r="C485" s="8">
        <f>(data!C485-AVERAGE(data!C:C))/_xlfn.STDEV.S(data!C:C)</f>
        <v>-1.3906695841148498</v>
      </c>
      <c r="D485" s="2">
        <v>1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8">
        <f>(data!J485-AVERAGE(data!J:J))/_xlfn.STDEV.S(data!J:J)</f>
        <v>-0.63443372081320804</v>
      </c>
      <c r="K485" s="2">
        <v>0</v>
      </c>
      <c r="L485" s="2">
        <v>0</v>
      </c>
      <c r="M485" s="2">
        <v>0</v>
      </c>
      <c r="N485" s="2">
        <v>1</v>
      </c>
      <c r="O485" s="2">
        <v>1</v>
      </c>
      <c r="P485" s="2">
        <v>1</v>
      </c>
      <c r="Q485" s="2">
        <v>0</v>
      </c>
      <c r="R485" s="2">
        <v>0</v>
      </c>
      <c r="S485" s="6" cm="1">
        <f t="array" ref="S485">$Y$2+MMULT(C485:R485,$Y$3:$Y$18)</f>
        <v>-14.796605190509894</v>
      </c>
      <c r="T485" s="7">
        <f t="shared" si="15"/>
        <v>3.7490035532822354E-7</v>
      </c>
      <c r="U485" s="3">
        <f t="shared" si="14"/>
        <v>0</v>
      </c>
    </row>
    <row r="486" spans="1:21">
      <c r="A486" s="2">
        <v>485</v>
      </c>
      <c r="B486" s="2">
        <v>0</v>
      </c>
      <c r="C486" s="8">
        <f>(data!C486-AVERAGE(data!C:C))/_xlfn.STDEV.S(data!C:C)</f>
        <v>-0.42458578877770431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8">
        <f>(data!J486-AVERAGE(data!J:J))/_xlfn.STDEV.S(data!J:J)</f>
        <v>-0.41310435858334144</v>
      </c>
      <c r="K486" s="2">
        <v>0</v>
      </c>
      <c r="L486" s="2">
        <v>0</v>
      </c>
      <c r="M486" s="2">
        <v>0</v>
      </c>
      <c r="N486" s="2">
        <v>0</v>
      </c>
      <c r="O486" s="2">
        <v>1</v>
      </c>
      <c r="P486" s="2">
        <v>1</v>
      </c>
      <c r="Q486" s="2">
        <v>0</v>
      </c>
      <c r="R486" s="2">
        <v>0</v>
      </c>
      <c r="S486" s="6" cm="1">
        <f t="array" ref="S486">$Y$2+MMULT(C486:R486,$Y$3:$Y$18)</f>
        <v>-8.6245080507710448</v>
      </c>
      <c r="T486" s="7">
        <f t="shared" si="15"/>
        <v>1.7961629385321063E-4</v>
      </c>
      <c r="U486" s="3">
        <f t="shared" si="14"/>
        <v>0</v>
      </c>
    </row>
    <row r="487" spans="1:21">
      <c r="A487" s="2">
        <v>486</v>
      </c>
      <c r="B487" s="2">
        <v>0</v>
      </c>
      <c r="C487" s="8">
        <f>(data!C487-AVERAGE(data!C:C))/_xlfn.STDEV.S(data!C:C)</f>
        <v>-0.59260036187981657</v>
      </c>
      <c r="D487" s="2">
        <v>0</v>
      </c>
      <c r="E487" s="2">
        <v>1</v>
      </c>
      <c r="F487" s="2">
        <v>0</v>
      </c>
      <c r="G487" s="2">
        <v>0</v>
      </c>
      <c r="H487" s="2">
        <v>0</v>
      </c>
      <c r="I487" s="2">
        <v>0</v>
      </c>
      <c r="J487" s="8">
        <f>(data!J487-AVERAGE(data!J:J))/_xlfn.STDEV.S(data!J:J)</f>
        <v>-1.0770924452729411</v>
      </c>
      <c r="K487" s="2">
        <v>1</v>
      </c>
      <c r="L487" s="2">
        <v>0</v>
      </c>
      <c r="M487" s="2">
        <v>0</v>
      </c>
      <c r="N487" s="2">
        <v>0</v>
      </c>
      <c r="O487" s="2">
        <v>0</v>
      </c>
      <c r="P487" s="2">
        <v>1</v>
      </c>
      <c r="Q487" s="2">
        <v>0</v>
      </c>
      <c r="R487" s="2">
        <v>0</v>
      </c>
      <c r="S487" s="6" cm="1">
        <f t="array" ref="S487">$Y$2+MMULT(C487:R487,$Y$3:$Y$18)</f>
        <v>-11.605458665242127</v>
      </c>
      <c r="T487" s="7">
        <f t="shared" si="15"/>
        <v>9.116106340499727E-6</v>
      </c>
      <c r="U487" s="3">
        <f t="shared" si="14"/>
        <v>0</v>
      </c>
    </row>
    <row r="488" spans="1:21">
      <c r="A488" s="2">
        <v>487</v>
      </c>
      <c r="B488" s="2">
        <v>0</v>
      </c>
      <c r="C488" s="8">
        <f>(data!C488-AVERAGE(data!C:C))/_xlfn.STDEV.S(data!C:C)</f>
        <v>7.9457930528632384E-2</v>
      </c>
      <c r="D488" s="2">
        <v>0</v>
      </c>
      <c r="E488" s="2">
        <v>0</v>
      </c>
      <c r="F488" s="2">
        <v>1</v>
      </c>
      <c r="G488" s="2">
        <v>1</v>
      </c>
      <c r="H488" s="2">
        <v>0</v>
      </c>
      <c r="I488" s="2">
        <v>0</v>
      </c>
      <c r="J488" s="8">
        <f>(data!J488-AVERAGE(data!J:J))/_xlfn.STDEV.S(data!J:J)</f>
        <v>0.76731890664261382</v>
      </c>
      <c r="K488" s="2">
        <v>0</v>
      </c>
      <c r="L488" s="2">
        <v>0</v>
      </c>
      <c r="M488" s="2">
        <v>0</v>
      </c>
      <c r="N488" s="2">
        <v>0</v>
      </c>
      <c r="O488" s="2">
        <v>1</v>
      </c>
      <c r="P488" s="2">
        <v>1</v>
      </c>
      <c r="Q488" s="2">
        <v>0</v>
      </c>
      <c r="R488" s="2">
        <v>0</v>
      </c>
      <c r="S488" s="6" cm="1">
        <f t="array" ref="S488">$Y$2+MMULT(C488:R488,$Y$3:$Y$18)</f>
        <v>-6.2600561830906418</v>
      </c>
      <c r="T488" s="7">
        <f t="shared" si="15"/>
        <v>1.9074929369156824E-3</v>
      </c>
      <c r="U488" s="3">
        <f t="shared" si="14"/>
        <v>0</v>
      </c>
    </row>
    <row r="489" spans="1:21">
      <c r="A489" s="2">
        <v>488</v>
      </c>
      <c r="B489" s="2">
        <v>1</v>
      </c>
      <c r="C489" s="8">
        <f>(data!C489-AVERAGE(data!C:C))/_xlfn.STDEV.S(data!C:C)</f>
        <v>0.28947614690627266</v>
      </c>
      <c r="D489" s="2">
        <v>1</v>
      </c>
      <c r="E489" s="2">
        <v>1</v>
      </c>
      <c r="F489" s="2">
        <v>1</v>
      </c>
      <c r="G489" s="2">
        <v>1</v>
      </c>
      <c r="H489" s="2">
        <v>0</v>
      </c>
      <c r="I489" s="2">
        <v>0</v>
      </c>
      <c r="J489" s="8">
        <f>(data!J489-AVERAGE(data!J:J))/_xlfn.STDEV.S(data!J:J)</f>
        <v>2.6855067126347909</v>
      </c>
      <c r="K489" s="2">
        <v>0</v>
      </c>
      <c r="L489" s="2">
        <v>0</v>
      </c>
      <c r="M489" s="2">
        <v>1</v>
      </c>
      <c r="N489" s="2">
        <v>1</v>
      </c>
      <c r="O489" s="2">
        <v>1</v>
      </c>
      <c r="P489" s="2">
        <v>1</v>
      </c>
      <c r="Q489" s="2">
        <v>0</v>
      </c>
      <c r="R489" s="2">
        <v>0</v>
      </c>
      <c r="S489" s="6" cm="1">
        <f t="array" ref="S489">$Y$2+MMULT(C489:R489,$Y$3:$Y$18)</f>
        <v>-2.7806360477903236</v>
      </c>
      <c r="T489" s="7">
        <f t="shared" si="15"/>
        <v>5.8379581278425345E-2</v>
      </c>
      <c r="U489" s="3">
        <f t="shared" si="14"/>
        <v>0</v>
      </c>
    </row>
    <row r="490" spans="1:21">
      <c r="A490" s="2">
        <v>489</v>
      </c>
      <c r="B490" s="2">
        <v>1</v>
      </c>
      <c r="C490" s="8">
        <f>(data!C490-AVERAGE(data!C:C))/_xlfn.STDEV.S(data!C:C)</f>
        <v>1.6755963749986986</v>
      </c>
      <c r="D490" s="2">
        <v>1</v>
      </c>
      <c r="E490" s="2">
        <v>1</v>
      </c>
      <c r="F490" s="2">
        <v>1</v>
      </c>
      <c r="G490" s="2">
        <v>0</v>
      </c>
      <c r="H490" s="2">
        <v>0</v>
      </c>
      <c r="I490" s="2">
        <v>0</v>
      </c>
      <c r="J490" s="8">
        <f>(data!J490-AVERAGE(data!J:J))/_xlfn.STDEV.S(data!J:J)</f>
        <v>-0.85576308304307458</v>
      </c>
      <c r="K490" s="2">
        <v>0</v>
      </c>
      <c r="L490" s="2">
        <v>1</v>
      </c>
      <c r="M490" s="2">
        <v>1</v>
      </c>
      <c r="N490" s="2">
        <v>0</v>
      </c>
      <c r="O490" s="2">
        <v>1</v>
      </c>
      <c r="P490" s="2">
        <v>1</v>
      </c>
      <c r="Q490" s="2">
        <v>0</v>
      </c>
      <c r="R490" s="2">
        <v>0</v>
      </c>
      <c r="S490" s="6" cm="1">
        <f t="array" ref="S490">$Y$2+MMULT(C490:R490,$Y$3:$Y$18)</f>
        <v>3.7434516332161465</v>
      </c>
      <c r="T490" s="7">
        <f t="shared" si="15"/>
        <v>0.9768751629978949</v>
      </c>
      <c r="U490" s="3">
        <f t="shared" si="14"/>
        <v>1</v>
      </c>
    </row>
    <row r="491" spans="1:21">
      <c r="A491" s="2">
        <v>490</v>
      </c>
      <c r="B491" s="2">
        <v>0</v>
      </c>
      <c r="C491" s="8">
        <f>(data!C491-AVERAGE(data!C:C))/_xlfn.STDEV.S(data!C:C)</f>
        <v>-0.97063315135956907</v>
      </c>
      <c r="D491" s="2">
        <v>0</v>
      </c>
      <c r="E491" s="2">
        <v>1</v>
      </c>
      <c r="F491" s="2">
        <v>1</v>
      </c>
      <c r="G491" s="2">
        <v>0</v>
      </c>
      <c r="H491" s="2">
        <v>0</v>
      </c>
      <c r="I491" s="2">
        <v>0</v>
      </c>
      <c r="J491" s="8">
        <f>(data!J491-AVERAGE(data!J:J))/_xlfn.STDEV.S(data!J:J)</f>
        <v>-1.003315991196319</v>
      </c>
      <c r="K491" s="2">
        <v>1</v>
      </c>
      <c r="L491" s="2">
        <v>1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6" cm="1">
        <f t="array" ref="S491">$Y$2+MMULT(C491:R491,$Y$3:$Y$18)</f>
        <v>-11.834502760615171</v>
      </c>
      <c r="T491" s="7">
        <f t="shared" si="15"/>
        <v>7.2499933188592427E-6</v>
      </c>
      <c r="U491" s="3">
        <f t="shared" si="14"/>
        <v>0</v>
      </c>
    </row>
    <row r="492" spans="1:21">
      <c r="A492" s="2">
        <v>491</v>
      </c>
      <c r="B492" s="2">
        <v>0</v>
      </c>
      <c r="C492" s="8">
        <f>(data!C492-AVERAGE(data!C:C))/_xlfn.STDEV.S(data!C:C)</f>
        <v>-0.63460400515534465</v>
      </c>
      <c r="D492" s="2">
        <v>0</v>
      </c>
      <c r="E492" s="2">
        <v>0</v>
      </c>
      <c r="F492" s="2">
        <v>0</v>
      </c>
      <c r="G492" s="2">
        <v>1</v>
      </c>
      <c r="H492" s="2">
        <v>0</v>
      </c>
      <c r="I492" s="2">
        <v>0</v>
      </c>
      <c r="J492" s="8">
        <f>(data!J492-AVERAGE(data!J:J))/_xlfn.STDEV.S(data!J:J)</f>
        <v>-1.1508688993495635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>
        <v>1</v>
      </c>
      <c r="Q492" s="2">
        <v>0</v>
      </c>
      <c r="R492" s="2">
        <v>0</v>
      </c>
      <c r="S492" s="6" cm="1">
        <f t="array" ref="S492">$Y$2+MMULT(C492:R492,$Y$3:$Y$18)</f>
        <v>-11.051623262731402</v>
      </c>
      <c r="T492" s="7">
        <f t="shared" si="15"/>
        <v>1.5861129554067001E-5</v>
      </c>
      <c r="U492" s="3">
        <f t="shared" si="14"/>
        <v>0</v>
      </c>
    </row>
    <row r="493" spans="1:21">
      <c r="A493" s="2">
        <v>492</v>
      </c>
      <c r="B493" s="2">
        <v>0</v>
      </c>
      <c r="C493" s="8">
        <f>(data!C493-AVERAGE(data!C:C))/_xlfn.STDEV.S(data!C:C)</f>
        <v>-1.4746768706659057</v>
      </c>
      <c r="D493" s="2">
        <v>1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8">
        <f>(data!J493-AVERAGE(data!J:J))/_xlfn.STDEV.S(data!J:J)</f>
        <v>-0.11799854227685262</v>
      </c>
      <c r="K493" s="2">
        <v>0</v>
      </c>
      <c r="L493" s="2">
        <v>1</v>
      </c>
      <c r="M493" s="2">
        <v>0</v>
      </c>
      <c r="N493" s="2">
        <v>0</v>
      </c>
      <c r="O493" s="2">
        <v>0</v>
      </c>
      <c r="P493" s="2">
        <v>1</v>
      </c>
      <c r="Q493" s="2">
        <v>0</v>
      </c>
      <c r="R493" s="2">
        <v>1</v>
      </c>
      <c r="S493" s="6" cm="1">
        <f t="array" ref="S493">$Y$2+MMULT(C493:R493,$Y$3:$Y$18)</f>
        <v>-16.848234204927245</v>
      </c>
      <c r="T493" s="7">
        <f t="shared" si="15"/>
        <v>4.8184220109521169E-8</v>
      </c>
      <c r="U493" s="3">
        <f t="shared" si="14"/>
        <v>0</v>
      </c>
    </row>
    <row r="494" spans="1:21">
      <c r="A494" s="2">
        <v>493</v>
      </c>
      <c r="B494" s="2">
        <v>1</v>
      </c>
      <c r="C494" s="8">
        <f>(data!C494-AVERAGE(data!C:C))/_xlfn.STDEV.S(data!C:C)</f>
        <v>1.6755963749986986</v>
      </c>
      <c r="D494" s="2">
        <v>1</v>
      </c>
      <c r="E494" s="2">
        <v>1</v>
      </c>
      <c r="F494" s="2">
        <v>0</v>
      </c>
      <c r="G494" s="2">
        <v>0</v>
      </c>
      <c r="H494" s="2">
        <v>0</v>
      </c>
      <c r="I494" s="2">
        <v>0</v>
      </c>
      <c r="J494" s="8">
        <f>(data!J494-AVERAGE(data!J:J))/_xlfn.STDEV.S(data!J:J)</f>
        <v>0.98864826887248036</v>
      </c>
      <c r="K494" s="2">
        <v>1</v>
      </c>
      <c r="L494" s="2">
        <v>0</v>
      </c>
      <c r="M494" s="2">
        <v>1</v>
      </c>
      <c r="N494" s="2">
        <v>1</v>
      </c>
      <c r="O494" s="2">
        <v>1</v>
      </c>
      <c r="P494" s="2">
        <v>1</v>
      </c>
      <c r="Q494" s="2">
        <v>0</v>
      </c>
      <c r="R494" s="2">
        <v>1</v>
      </c>
      <c r="S494" s="6" cm="1">
        <f t="array" ref="S494">$Y$2+MMULT(C494:R494,$Y$3:$Y$18)</f>
        <v>6.2739021250715012</v>
      </c>
      <c r="T494" s="7">
        <f t="shared" si="15"/>
        <v>0.99811868675271176</v>
      </c>
      <c r="U494" s="3">
        <f t="shared" si="14"/>
        <v>1</v>
      </c>
    </row>
    <row r="495" spans="1:21">
      <c r="A495" s="2">
        <v>494</v>
      </c>
      <c r="B495" s="2">
        <v>1</v>
      </c>
      <c r="C495" s="8">
        <f>(data!C495-AVERAGE(data!C:C))/_xlfn.STDEV.S(data!C:C)</f>
        <v>1.6755963749986986</v>
      </c>
      <c r="D495" s="2">
        <v>0</v>
      </c>
      <c r="E495" s="2">
        <v>0</v>
      </c>
      <c r="F495" s="2">
        <v>0</v>
      </c>
      <c r="G495" s="2">
        <v>1</v>
      </c>
      <c r="H495" s="2">
        <v>0</v>
      </c>
      <c r="I495" s="2">
        <v>0</v>
      </c>
      <c r="J495" s="8">
        <f>(data!J495-AVERAGE(data!J:J))/_xlfn.STDEV.S(data!J:J)</f>
        <v>-1.1508688993495635</v>
      </c>
      <c r="K495" s="2">
        <v>0</v>
      </c>
      <c r="L495" s="2">
        <v>0</v>
      </c>
      <c r="M495" s="2">
        <v>0</v>
      </c>
      <c r="N495" s="2">
        <v>1</v>
      </c>
      <c r="O495" s="2">
        <v>1</v>
      </c>
      <c r="P495" s="2">
        <v>1</v>
      </c>
      <c r="Q495" s="2">
        <v>0</v>
      </c>
      <c r="R495" s="2">
        <v>0</v>
      </c>
      <c r="S495" s="6" cm="1">
        <f t="array" ref="S495">$Y$2+MMULT(C495:R495,$Y$3:$Y$18)</f>
        <v>2.255163803000702</v>
      </c>
      <c r="T495" s="7">
        <f t="shared" si="15"/>
        <v>0.90509502436937939</v>
      </c>
      <c r="U495" s="3">
        <f t="shared" si="14"/>
        <v>1</v>
      </c>
    </row>
    <row r="496" spans="1:21">
      <c r="A496" s="2">
        <v>495</v>
      </c>
      <c r="B496" s="2">
        <v>0</v>
      </c>
      <c r="C496" s="8">
        <f>(data!C496-AVERAGE(data!C:C))/_xlfn.STDEV.S(data!C:C)</f>
        <v>3.7454287253104325E-2</v>
      </c>
      <c r="D496" s="2">
        <v>0</v>
      </c>
      <c r="E496" s="2">
        <v>1</v>
      </c>
      <c r="F496" s="2">
        <v>0</v>
      </c>
      <c r="G496" s="2">
        <v>0</v>
      </c>
      <c r="H496" s="2">
        <v>1</v>
      </c>
      <c r="I496" s="2">
        <v>0</v>
      </c>
      <c r="J496" s="8">
        <f>(data!J496-AVERAGE(data!J:J))/_xlfn.STDEV.S(data!J:J)</f>
        <v>1.6526363555620802</v>
      </c>
      <c r="K496" s="2">
        <v>0</v>
      </c>
      <c r="L496" s="2">
        <v>0</v>
      </c>
      <c r="M496" s="2">
        <v>1</v>
      </c>
      <c r="N496" s="2">
        <v>1</v>
      </c>
      <c r="O496" s="2">
        <v>0</v>
      </c>
      <c r="P496" s="2">
        <v>1</v>
      </c>
      <c r="Q496" s="2">
        <v>0</v>
      </c>
      <c r="R496" s="2">
        <v>0</v>
      </c>
      <c r="S496" s="6" cm="1">
        <f t="array" ref="S496">$Y$2+MMULT(C496:R496,$Y$3:$Y$18)</f>
        <v>-8.294016109157992</v>
      </c>
      <c r="T496" s="7">
        <f t="shared" si="15"/>
        <v>2.4994589430770851E-4</v>
      </c>
      <c r="U496" s="3">
        <f t="shared" si="14"/>
        <v>0</v>
      </c>
    </row>
    <row r="497" spans="1:21">
      <c r="A497" s="2">
        <v>496</v>
      </c>
      <c r="B497" s="2">
        <v>0</v>
      </c>
      <c r="C497" s="8">
        <f>(data!C497-AVERAGE(data!C:C))/_xlfn.STDEV.S(data!C:C)</f>
        <v>-1.2646586542882654</v>
      </c>
      <c r="D497" s="2">
        <v>1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8">
        <f>(data!J497-AVERAGE(data!J:J))/_xlfn.STDEV.S(data!J:J)</f>
        <v>-0.33932790450671924</v>
      </c>
      <c r="K497" s="2">
        <v>0</v>
      </c>
      <c r="L497" s="2">
        <v>0</v>
      </c>
      <c r="M497" s="2">
        <v>1</v>
      </c>
      <c r="N497" s="2">
        <v>1</v>
      </c>
      <c r="O497" s="2">
        <v>0</v>
      </c>
      <c r="P497" s="2">
        <v>1</v>
      </c>
      <c r="Q497" s="2">
        <v>0</v>
      </c>
      <c r="R497" s="2">
        <v>0</v>
      </c>
      <c r="S497" s="6" cm="1">
        <f t="array" ref="S497">$Y$2+MMULT(C497:R497,$Y$3:$Y$18)</f>
        <v>-14.076072075727145</v>
      </c>
      <c r="T497" s="7">
        <f t="shared" si="15"/>
        <v>7.7061815432363115E-7</v>
      </c>
      <c r="U497" s="3">
        <f t="shared" si="14"/>
        <v>0</v>
      </c>
    </row>
    <row r="498" spans="1:21">
      <c r="A498" s="2">
        <v>497</v>
      </c>
      <c r="B498" s="2">
        <v>0</v>
      </c>
      <c r="C498" s="8">
        <f>(data!C498-AVERAGE(data!C:C))/_xlfn.STDEV.S(data!C:C)</f>
        <v>0.70951257966155323</v>
      </c>
      <c r="D498" s="2">
        <v>1</v>
      </c>
      <c r="E498" s="2">
        <v>0</v>
      </c>
      <c r="F498" s="2">
        <v>1</v>
      </c>
      <c r="G498" s="2">
        <v>0</v>
      </c>
      <c r="H498" s="2">
        <v>0</v>
      </c>
      <c r="I498" s="2">
        <v>0</v>
      </c>
      <c r="J498" s="8">
        <f>(data!J498-AVERAGE(data!J:J))/_xlfn.STDEV.S(data!J:J)</f>
        <v>-1.2246453534261856</v>
      </c>
      <c r="K498" s="2">
        <v>0</v>
      </c>
      <c r="L498" s="2">
        <v>0</v>
      </c>
      <c r="M498" s="2">
        <v>0</v>
      </c>
      <c r="N498" s="2">
        <v>0</v>
      </c>
      <c r="O498" s="2">
        <v>1</v>
      </c>
      <c r="P498" s="2">
        <v>1</v>
      </c>
      <c r="Q498" s="2">
        <v>0</v>
      </c>
      <c r="R498" s="2">
        <v>0</v>
      </c>
      <c r="S498" s="6" cm="1">
        <f t="array" ref="S498">$Y$2+MMULT(C498:R498,$Y$3:$Y$18)</f>
        <v>-2.7695928089584316</v>
      </c>
      <c r="T498" s="7">
        <f t="shared" si="15"/>
        <v>5.898961251504984E-2</v>
      </c>
      <c r="U498" s="3">
        <f t="shared" si="14"/>
        <v>0</v>
      </c>
    </row>
    <row r="499" spans="1:21">
      <c r="A499" s="2">
        <v>498</v>
      </c>
      <c r="B499" s="2">
        <v>0</v>
      </c>
      <c r="C499" s="8">
        <f>(data!C499-AVERAGE(data!C:C))/_xlfn.STDEV.S(data!C:C)</f>
        <v>1.255559942243418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8">
        <f>(data!J499-AVERAGE(data!J:J))/_xlfn.STDEV.S(data!J:J)</f>
        <v>-4.4222088200230422E-2</v>
      </c>
      <c r="K499" s="2">
        <v>0</v>
      </c>
      <c r="L499" s="2">
        <v>1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6" cm="1">
        <f t="array" ref="S499">$Y$2+MMULT(C499:R499,$Y$3:$Y$18)</f>
        <v>2.0260674182068241</v>
      </c>
      <c r="T499" s="7">
        <f t="shared" si="15"/>
        <v>0.88350693709472039</v>
      </c>
      <c r="U499" s="3">
        <f t="shared" si="14"/>
        <v>1</v>
      </c>
    </row>
    <row r="500" spans="1:21">
      <c r="A500" s="2">
        <v>499</v>
      </c>
      <c r="B500" s="2">
        <v>0</v>
      </c>
      <c r="C500" s="8">
        <f>(data!C500-AVERAGE(data!C:C))/_xlfn.STDEV.S(data!C:C)</f>
        <v>7.9457930528632384E-2</v>
      </c>
      <c r="D500" s="2">
        <v>0</v>
      </c>
      <c r="E500" s="2">
        <v>0</v>
      </c>
      <c r="F500" s="2">
        <v>1</v>
      </c>
      <c r="G500" s="2">
        <v>0</v>
      </c>
      <c r="H500" s="2">
        <v>0</v>
      </c>
      <c r="I500" s="2">
        <v>0</v>
      </c>
      <c r="J500" s="8">
        <f>(data!J500-AVERAGE(data!J:J))/_xlfn.STDEV.S(data!J:J)</f>
        <v>-0.92953953711969683</v>
      </c>
      <c r="K500" s="2">
        <v>0</v>
      </c>
      <c r="L500" s="2">
        <v>0</v>
      </c>
      <c r="M500" s="2">
        <v>0</v>
      </c>
      <c r="N500" s="2">
        <v>1</v>
      </c>
      <c r="O500" s="2">
        <v>1</v>
      </c>
      <c r="P500" s="2">
        <v>1</v>
      </c>
      <c r="Q500" s="2">
        <v>0</v>
      </c>
      <c r="R500" s="2">
        <v>0</v>
      </c>
      <c r="S500" s="6" cm="1">
        <f t="array" ref="S500">$Y$2+MMULT(C500:R500,$Y$3:$Y$18)</f>
        <v>-6.9909454387115169</v>
      </c>
      <c r="T500" s="7">
        <f t="shared" si="15"/>
        <v>9.19330204406069E-4</v>
      </c>
      <c r="U500" s="3">
        <f t="shared" si="14"/>
        <v>0</v>
      </c>
    </row>
    <row r="501" spans="1:21">
      <c r="A501" s="2">
        <v>500</v>
      </c>
      <c r="B501" s="2">
        <v>0</v>
      </c>
      <c r="C501" s="8">
        <f>(data!C501-AVERAGE(data!C:C))/_xlfn.STDEV.S(data!C:C)</f>
        <v>0.83552350948813747</v>
      </c>
      <c r="D501" s="2">
        <v>1</v>
      </c>
      <c r="E501" s="2">
        <v>1</v>
      </c>
      <c r="F501" s="2">
        <v>1</v>
      </c>
      <c r="G501" s="2">
        <v>1</v>
      </c>
      <c r="H501" s="2">
        <v>0</v>
      </c>
      <c r="I501" s="2">
        <v>0</v>
      </c>
      <c r="J501" s="8">
        <f>(data!J501-AVERAGE(data!J:J))/_xlfn.STDEV.S(data!J:J)</f>
        <v>-0.70821017488983018</v>
      </c>
      <c r="K501" s="2">
        <v>1</v>
      </c>
      <c r="L501" s="2">
        <v>1</v>
      </c>
      <c r="M501" s="2">
        <v>1</v>
      </c>
      <c r="N501" s="2">
        <v>1</v>
      </c>
      <c r="O501" s="2">
        <v>0</v>
      </c>
      <c r="P501" s="2">
        <v>1</v>
      </c>
      <c r="Q501" s="2">
        <v>0</v>
      </c>
      <c r="R501" s="2">
        <v>0</v>
      </c>
      <c r="S501" s="6" cm="1">
        <f t="array" ref="S501">$Y$2+MMULT(C501:R501,$Y$3:$Y$18)</f>
        <v>-3.8374647554808901</v>
      </c>
      <c r="T501" s="7">
        <f t="shared" si="15"/>
        <v>2.1093632992030445E-2</v>
      </c>
      <c r="U501" s="3">
        <f t="shared" si="14"/>
        <v>0</v>
      </c>
    </row>
    <row r="502" spans="1:21">
      <c r="A502" s="2">
        <v>501</v>
      </c>
      <c r="B502" s="2">
        <v>0</v>
      </c>
      <c r="C502" s="8">
        <f>(data!C502-AVERAGE(data!C:C))/_xlfn.STDEV.S(data!C:C)</f>
        <v>0.33147979018180074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8">
        <f>(data!J502-AVERAGE(data!J:J))/_xlfn.STDEV.S(data!J:J)</f>
        <v>0.10333081995301398</v>
      </c>
      <c r="K502" s="2">
        <v>0</v>
      </c>
      <c r="L502" s="2">
        <v>1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6" cm="1">
        <f t="array" ref="S502">$Y$2+MMULT(C502:R502,$Y$3:$Y$18)</f>
        <v>-3.3939546975053605</v>
      </c>
      <c r="T502" s="7">
        <f t="shared" si="15"/>
        <v>3.2484930440492381E-2</v>
      </c>
      <c r="U502" s="3">
        <f t="shared" si="14"/>
        <v>0</v>
      </c>
    </row>
    <row r="503" spans="1:21">
      <c r="A503" s="2">
        <v>502</v>
      </c>
      <c r="B503" s="2">
        <v>0</v>
      </c>
      <c r="C503" s="8">
        <f>(data!C503-AVERAGE(data!C:C))/_xlfn.STDEV.S(data!C:C)</f>
        <v>0.41548707673285684</v>
      </c>
      <c r="D503" s="2">
        <v>1</v>
      </c>
      <c r="E503" s="2">
        <v>0</v>
      </c>
      <c r="F503" s="2">
        <v>1</v>
      </c>
      <c r="G503" s="2">
        <v>1</v>
      </c>
      <c r="H503" s="2">
        <v>0</v>
      </c>
      <c r="I503" s="2">
        <v>0</v>
      </c>
      <c r="J503" s="8">
        <f>(data!J503-AVERAGE(data!J:J))/_xlfn.STDEV.S(data!J:J)</f>
        <v>-0.78198662896645244</v>
      </c>
      <c r="K503" s="2">
        <v>0</v>
      </c>
      <c r="L503" s="2">
        <v>0</v>
      </c>
      <c r="M503" s="2">
        <v>1</v>
      </c>
      <c r="N503" s="2">
        <v>1</v>
      </c>
      <c r="O503" s="2">
        <v>1</v>
      </c>
      <c r="P503" s="2">
        <v>1</v>
      </c>
      <c r="Q503" s="2">
        <v>0</v>
      </c>
      <c r="R503" s="2">
        <v>0</v>
      </c>
      <c r="S503" s="6" cm="1">
        <f t="array" ref="S503">$Y$2+MMULT(C503:R503,$Y$3:$Y$18)</f>
        <v>-3.9625270004418716</v>
      </c>
      <c r="T503" s="7">
        <f t="shared" si="15"/>
        <v>1.8660179250973543E-2</v>
      </c>
      <c r="U503" s="3">
        <f t="shared" si="14"/>
        <v>0</v>
      </c>
    </row>
    <row r="504" spans="1:21">
      <c r="A504" s="2">
        <v>503</v>
      </c>
      <c r="B504" s="2">
        <v>0</v>
      </c>
      <c r="C504" s="8">
        <f>(data!C504-AVERAGE(data!C:C))/_xlfn.STDEV.S(data!C:C)</f>
        <v>-0.34057850222664821</v>
      </c>
      <c r="D504" s="2">
        <v>1</v>
      </c>
      <c r="E504" s="2">
        <v>0</v>
      </c>
      <c r="F504" s="2">
        <v>1</v>
      </c>
      <c r="G504" s="2">
        <v>0</v>
      </c>
      <c r="H504" s="2">
        <v>1</v>
      </c>
      <c r="I504" s="2">
        <v>0</v>
      </c>
      <c r="J504" s="8">
        <f>(data!J504-AVERAGE(data!J:J))/_xlfn.STDEV.S(data!J:J)</f>
        <v>-0.63443372081320804</v>
      </c>
      <c r="K504" s="2">
        <v>0</v>
      </c>
      <c r="L504" s="2">
        <v>0</v>
      </c>
      <c r="M504" s="2">
        <v>0</v>
      </c>
      <c r="N504" s="2">
        <v>0</v>
      </c>
      <c r="O504" s="2">
        <v>1</v>
      </c>
      <c r="P504" s="2">
        <v>1</v>
      </c>
      <c r="Q504" s="2">
        <v>0</v>
      </c>
      <c r="R504" s="2">
        <v>0</v>
      </c>
      <c r="S504" s="6" cm="1">
        <f t="array" ref="S504">$Y$2+MMULT(C504:R504,$Y$3:$Y$18)</f>
        <v>-11.535117396123502</v>
      </c>
      <c r="T504" s="7">
        <f t="shared" si="15"/>
        <v>9.7804293251822518E-6</v>
      </c>
      <c r="U504" s="3">
        <f t="shared" si="14"/>
        <v>0</v>
      </c>
    </row>
    <row r="505" spans="1:21">
      <c r="A505" s="2">
        <v>504</v>
      </c>
      <c r="B505" s="2">
        <v>0</v>
      </c>
      <c r="C505" s="8">
        <f>(data!C505-AVERAGE(data!C:C))/_xlfn.STDEV.S(data!C:C)</f>
        <v>-1.3906695841148498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8">
        <f>(data!J505-AVERAGE(data!J:J))/_xlfn.STDEV.S(data!J:J)</f>
        <v>2.9554365876391778E-2</v>
      </c>
      <c r="K505" s="2">
        <v>0</v>
      </c>
      <c r="L505" s="2">
        <v>1</v>
      </c>
      <c r="M505" s="2">
        <v>0</v>
      </c>
      <c r="N505" s="2">
        <v>1</v>
      </c>
      <c r="O505" s="2">
        <v>1</v>
      </c>
      <c r="P505" s="2">
        <v>1</v>
      </c>
      <c r="Q505" s="2">
        <v>0</v>
      </c>
      <c r="R505" s="2">
        <v>0</v>
      </c>
      <c r="S505" s="6" cm="1">
        <f t="array" ref="S505">$Y$2+MMULT(C505:R505,$Y$3:$Y$18)</f>
        <v>-15.418333577843871</v>
      </c>
      <c r="T505" s="7">
        <f t="shared" si="15"/>
        <v>2.0132732332274726E-7</v>
      </c>
      <c r="U505" s="3">
        <f t="shared" si="14"/>
        <v>0</v>
      </c>
    </row>
    <row r="506" spans="1:21">
      <c r="A506" s="2">
        <v>505</v>
      </c>
      <c r="B506" s="2">
        <v>0</v>
      </c>
      <c r="C506" s="8">
        <f>(data!C506-AVERAGE(data!C:C))/_xlfn.STDEV.S(data!C:C)</f>
        <v>-1.1386477244616813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8">
        <f>(data!J506-AVERAGE(data!J:J))/_xlfn.STDEV.S(data!J:J)</f>
        <v>-0.19177499635347484</v>
      </c>
      <c r="K506" s="2">
        <v>0</v>
      </c>
      <c r="L506" s="2">
        <v>1</v>
      </c>
      <c r="M506" s="2">
        <v>0</v>
      </c>
      <c r="N506" s="2">
        <v>1</v>
      </c>
      <c r="O506" s="2">
        <v>1</v>
      </c>
      <c r="P506" s="2">
        <v>1</v>
      </c>
      <c r="Q506" s="2">
        <v>1</v>
      </c>
      <c r="R506" s="2">
        <v>0</v>
      </c>
      <c r="S506" s="6" cm="1">
        <f t="array" ref="S506">$Y$2+MMULT(C506:R506,$Y$3:$Y$18)</f>
        <v>-13.05967798083714</v>
      </c>
      <c r="T506" s="7">
        <f t="shared" si="15"/>
        <v>2.1293791273984897E-6</v>
      </c>
      <c r="U506" s="3">
        <f t="shared" si="14"/>
        <v>0</v>
      </c>
    </row>
    <row r="507" spans="1:21">
      <c r="A507" s="2">
        <v>506</v>
      </c>
      <c r="B507" s="2">
        <v>0</v>
      </c>
      <c r="C507" s="8">
        <f>(data!C507-AVERAGE(data!C:C))/_xlfn.STDEV.S(data!C:C)</f>
        <v>-1.2226550110127374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8">
        <f>(data!J507-AVERAGE(data!J:J))/_xlfn.STDEV.S(data!J:J)</f>
        <v>-0.19177499635347484</v>
      </c>
      <c r="K507" s="2">
        <v>0</v>
      </c>
      <c r="L507" s="2">
        <v>0</v>
      </c>
      <c r="M507" s="2">
        <v>0</v>
      </c>
      <c r="N507" s="2">
        <v>1</v>
      </c>
      <c r="O507" s="2">
        <v>1</v>
      </c>
      <c r="P507" s="2">
        <v>1</v>
      </c>
      <c r="Q507" s="2">
        <v>0</v>
      </c>
      <c r="R507" s="2">
        <v>0</v>
      </c>
      <c r="S507" s="6" cm="1">
        <f t="array" ref="S507">$Y$2+MMULT(C507:R507,$Y$3:$Y$18)</f>
        <v>-13.711823695593363</v>
      </c>
      <c r="T507" s="7">
        <f t="shared" si="15"/>
        <v>1.1092518212142817E-6</v>
      </c>
      <c r="U507" s="3">
        <f t="shared" si="14"/>
        <v>0</v>
      </c>
    </row>
    <row r="508" spans="1:21">
      <c r="A508" s="2">
        <v>507</v>
      </c>
      <c r="B508" s="2">
        <v>0</v>
      </c>
      <c r="C508" s="8">
        <f>(data!C508-AVERAGE(data!C:C))/_xlfn.STDEV.S(data!C:C)</f>
        <v>-1.2226550110127374</v>
      </c>
      <c r="D508" s="2">
        <v>1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8">
        <f>(data!J508-AVERAGE(data!J:J))/_xlfn.STDEV.S(data!J:J)</f>
        <v>-1.2246453534261856</v>
      </c>
      <c r="K508" s="2">
        <v>1</v>
      </c>
      <c r="L508" s="2">
        <v>0</v>
      </c>
      <c r="M508" s="2">
        <v>1</v>
      </c>
      <c r="N508" s="2">
        <v>1</v>
      </c>
      <c r="O508" s="2">
        <v>0</v>
      </c>
      <c r="P508" s="2">
        <v>1</v>
      </c>
      <c r="Q508" s="2">
        <v>0</v>
      </c>
      <c r="R508" s="2">
        <v>0</v>
      </c>
      <c r="S508" s="6" cm="1">
        <f t="array" ref="S508">$Y$2+MMULT(C508:R508,$Y$3:$Y$18)</f>
        <v>-14.234311926263423</v>
      </c>
      <c r="T508" s="7">
        <f t="shared" si="15"/>
        <v>6.5783441639994713E-7</v>
      </c>
      <c r="U508" s="3">
        <f t="shared" si="14"/>
        <v>0</v>
      </c>
    </row>
    <row r="509" spans="1:21">
      <c r="A509" s="2">
        <v>508</v>
      </c>
      <c r="B509" s="2">
        <v>1</v>
      </c>
      <c r="C509" s="8">
        <f>(data!C509-AVERAGE(data!C:C))/_xlfn.STDEV.S(data!C:C)</f>
        <v>1.6755963749986986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8">
        <f>(data!J509-AVERAGE(data!J:J))/_xlfn.STDEV.S(data!J:J)</f>
        <v>-0.92953953711969683</v>
      </c>
      <c r="K509" s="2">
        <v>0</v>
      </c>
      <c r="L509" s="2">
        <v>1</v>
      </c>
      <c r="M509" s="2">
        <v>0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6" cm="1">
        <f t="array" ref="S509">$Y$2+MMULT(C509:R509,$Y$3:$Y$18)</f>
        <v>5.7066207156099296</v>
      </c>
      <c r="T509" s="7">
        <f t="shared" si="15"/>
        <v>0.99668712567292761</v>
      </c>
      <c r="U509" s="3">
        <f t="shared" si="14"/>
        <v>1</v>
      </c>
    </row>
    <row r="510" spans="1:21">
      <c r="A510" s="2">
        <v>509</v>
      </c>
      <c r="B510" s="2">
        <v>0</v>
      </c>
      <c r="C510" s="8">
        <f>(data!C510-AVERAGE(data!C:C))/_xlfn.STDEV.S(data!C:C)</f>
        <v>-0.55059671860428849</v>
      </c>
      <c r="D510" s="2">
        <v>1</v>
      </c>
      <c r="E510" s="2">
        <v>1</v>
      </c>
      <c r="F510" s="2">
        <v>0</v>
      </c>
      <c r="G510" s="2">
        <v>1</v>
      </c>
      <c r="H510" s="2">
        <v>0</v>
      </c>
      <c r="I510" s="2">
        <v>0</v>
      </c>
      <c r="J510" s="8">
        <f>(data!J510-AVERAGE(data!J:J))/_xlfn.STDEV.S(data!J:J)</f>
        <v>-0.85576308304307458</v>
      </c>
      <c r="K510" s="2">
        <v>0</v>
      </c>
      <c r="L510" s="2">
        <v>0</v>
      </c>
      <c r="M510" s="2">
        <v>1</v>
      </c>
      <c r="N510" s="2">
        <v>0</v>
      </c>
      <c r="O510" s="2">
        <v>1</v>
      </c>
      <c r="P510" s="2">
        <v>1</v>
      </c>
      <c r="Q510" s="2">
        <v>0</v>
      </c>
      <c r="R510" s="2">
        <v>0</v>
      </c>
      <c r="S510" s="6" cm="1">
        <f t="array" ref="S510">$Y$2+MMULT(C510:R510,$Y$3:$Y$18)</f>
        <v>-8.8239472136795882</v>
      </c>
      <c r="T510" s="7">
        <f t="shared" si="15"/>
        <v>1.4714466062929745E-4</v>
      </c>
      <c r="U510" s="3">
        <f t="shared" si="14"/>
        <v>0</v>
      </c>
    </row>
    <row r="511" spans="1:21">
      <c r="A511" s="2">
        <v>510</v>
      </c>
      <c r="B511" s="2">
        <v>1</v>
      </c>
      <c r="C511" s="8">
        <f>(data!C511-AVERAGE(data!C:C))/_xlfn.STDEV.S(data!C:C)</f>
        <v>1.297563585518946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8">
        <f>(data!J511-AVERAGE(data!J:J))/_xlfn.STDEV.S(data!J:J)</f>
        <v>3.4970477074776354</v>
      </c>
      <c r="K511" s="2">
        <v>0</v>
      </c>
      <c r="L511" s="2">
        <v>0</v>
      </c>
      <c r="M511" s="2">
        <v>1</v>
      </c>
      <c r="N511" s="2">
        <v>1</v>
      </c>
      <c r="O511" s="2">
        <v>1</v>
      </c>
      <c r="P511" s="2">
        <v>1</v>
      </c>
      <c r="Q511" s="2">
        <v>0</v>
      </c>
      <c r="R511" s="2">
        <v>0</v>
      </c>
      <c r="S511" s="6" cm="1">
        <f t="array" ref="S511">$Y$2+MMULT(C511:R511,$Y$3:$Y$18)</f>
        <v>4.9936855764393702</v>
      </c>
      <c r="T511" s="7">
        <f t="shared" si="15"/>
        <v>0.99326503940041178</v>
      </c>
      <c r="U511" s="3">
        <f t="shared" si="14"/>
        <v>1</v>
      </c>
    </row>
    <row r="512" spans="1:21">
      <c r="A512" s="2">
        <v>511</v>
      </c>
      <c r="B512" s="2">
        <v>0</v>
      </c>
      <c r="C512" s="8">
        <f>(data!C512-AVERAGE(data!C:C))/_xlfn.STDEV.S(data!C:C)</f>
        <v>0.79351986621260939</v>
      </c>
      <c r="D512" s="2">
        <v>0</v>
      </c>
      <c r="E512" s="2">
        <v>0</v>
      </c>
      <c r="F512" s="2">
        <v>0</v>
      </c>
      <c r="G512" s="2">
        <v>1</v>
      </c>
      <c r="H512" s="2">
        <v>0</v>
      </c>
      <c r="I512" s="2">
        <v>0</v>
      </c>
      <c r="J512" s="8">
        <f>(data!J512-AVERAGE(data!J:J))/_xlfn.STDEV.S(data!J:J)</f>
        <v>-0.19177499635347484</v>
      </c>
      <c r="K512" s="2">
        <v>0</v>
      </c>
      <c r="L512" s="2">
        <v>0</v>
      </c>
      <c r="M512" s="2">
        <v>1</v>
      </c>
      <c r="N512" s="2">
        <v>1</v>
      </c>
      <c r="O512" s="2">
        <v>1</v>
      </c>
      <c r="P512" s="2">
        <v>1</v>
      </c>
      <c r="Q512" s="2">
        <v>0</v>
      </c>
      <c r="R512" s="2">
        <v>0</v>
      </c>
      <c r="S512" s="6" cm="1">
        <f t="array" ref="S512">$Y$2+MMULT(C512:R512,$Y$3:$Y$18)</f>
        <v>-0.93637959037014928</v>
      </c>
      <c r="T512" s="7">
        <f t="shared" si="15"/>
        <v>0.28163222821275796</v>
      </c>
      <c r="U512" s="3">
        <f t="shared" si="14"/>
        <v>0</v>
      </c>
    </row>
    <row r="513" spans="1:21">
      <c r="A513" s="2">
        <v>512</v>
      </c>
      <c r="B513" s="2">
        <v>1</v>
      </c>
      <c r="C513" s="8">
        <f>(data!C513-AVERAGE(data!C:C))/_xlfn.STDEV.S(data!C:C)</f>
        <v>1.2135562989678899</v>
      </c>
      <c r="D513" s="2">
        <v>0</v>
      </c>
      <c r="E513" s="2">
        <v>1</v>
      </c>
      <c r="F513" s="2">
        <v>0</v>
      </c>
      <c r="G513" s="2">
        <v>1</v>
      </c>
      <c r="H513" s="2">
        <v>0</v>
      </c>
      <c r="I513" s="2">
        <v>0</v>
      </c>
      <c r="J513" s="8">
        <f>(data!J513-AVERAGE(data!J:J))/_xlfn.STDEV.S(data!J:J)</f>
        <v>1.4313069933322136</v>
      </c>
      <c r="K513" s="2">
        <v>0</v>
      </c>
      <c r="L513" s="2">
        <v>1</v>
      </c>
      <c r="M513" s="2">
        <v>1</v>
      </c>
      <c r="N513" s="2">
        <v>1</v>
      </c>
      <c r="O513" s="2">
        <v>1</v>
      </c>
      <c r="P513" s="2">
        <v>1</v>
      </c>
      <c r="Q513" s="2">
        <v>0</v>
      </c>
      <c r="R513" s="2">
        <v>0</v>
      </c>
      <c r="S513" s="6" cm="1">
        <f t="array" ref="S513">$Y$2+MMULT(C513:R513,$Y$3:$Y$18)</f>
        <v>1.5694517033437094</v>
      </c>
      <c r="T513" s="7">
        <f t="shared" si="15"/>
        <v>0.8277054301944391</v>
      </c>
      <c r="U513" s="3">
        <f t="shared" si="14"/>
        <v>1</v>
      </c>
    </row>
    <row r="514" spans="1:21">
      <c r="A514" s="2">
        <v>513</v>
      </c>
      <c r="B514" s="2">
        <v>0</v>
      </c>
      <c r="C514" s="8">
        <f>(data!C514-AVERAGE(data!C:C))/_xlfn.STDEV.S(data!C:C)</f>
        <v>-1.4746768706659057</v>
      </c>
      <c r="D514" s="2">
        <v>1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8">
        <f>(data!J514-AVERAGE(data!J:J))/_xlfn.STDEV.S(data!J:J)</f>
        <v>-4.4222088200230422E-2</v>
      </c>
      <c r="K514" s="2">
        <v>0</v>
      </c>
      <c r="L514" s="2">
        <v>1</v>
      </c>
      <c r="M514" s="2">
        <v>0</v>
      </c>
      <c r="N514" s="2">
        <v>1</v>
      </c>
      <c r="O514" s="2">
        <v>1</v>
      </c>
      <c r="P514" s="2">
        <v>1</v>
      </c>
      <c r="Q514" s="2">
        <v>0</v>
      </c>
      <c r="R514" s="2">
        <v>0</v>
      </c>
      <c r="S514" s="6" cm="1">
        <f t="array" ref="S514">$Y$2+MMULT(C514:R514,$Y$3:$Y$18)</f>
        <v>-15.78361027403573</v>
      </c>
      <c r="T514" s="7">
        <f t="shared" si="15"/>
        <v>1.3972209626980749E-7</v>
      </c>
      <c r="U514" s="3">
        <f t="shared" ref="U514:U577" si="16">IF(T514&gt;=cut,1,0)</f>
        <v>0</v>
      </c>
    </row>
    <row r="515" spans="1:21">
      <c r="A515" s="2">
        <v>514</v>
      </c>
      <c r="B515" s="2">
        <v>0</v>
      </c>
      <c r="C515" s="8">
        <f>(data!C515-AVERAGE(data!C:C))/_xlfn.STDEV.S(data!C:C)</f>
        <v>1.255559942243418</v>
      </c>
      <c r="D515" s="2">
        <v>0</v>
      </c>
      <c r="E515" s="2">
        <v>0</v>
      </c>
      <c r="F515" s="2">
        <v>1</v>
      </c>
      <c r="G515" s="2">
        <v>0</v>
      </c>
      <c r="H515" s="2">
        <v>1</v>
      </c>
      <c r="I515" s="2">
        <v>0</v>
      </c>
      <c r="J515" s="8">
        <f>(data!J515-AVERAGE(data!J:J))/_xlfn.STDEV.S(data!J:J)</f>
        <v>0.84109536071923596</v>
      </c>
      <c r="K515" s="2">
        <v>0</v>
      </c>
      <c r="L515" s="2">
        <v>0</v>
      </c>
      <c r="M515" s="2">
        <v>1</v>
      </c>
      <c r="N515" s="2">
        <v>1</v>
      </c>
      <c r="O515" s="2">
        <v>1</v>
      </c>
      <c r="P515" s="2">
        <v>1</v>
      </c>
      <c r="Q515" s="2">
        <v>0</v>
      </c>
      <c r="R515" s="2">
        <v>0</v>
      </c>
      <c r="S515" s="6" cm="1">
        <f t="array" ref="S515">$Y$2+MMULT(C515:R515,$Y$3:$Y$18)</f>
        <v>-0.29132853287626181</v>
      </c>
      <c r="T515" s="7">
        <f t="shared" ref="T515:T578" si="17">EXP(S515)/(1+EXP(S515))</f>
        <v>0.42767865137852629</v>
      </c>
      <c r="U515" s="3">
        <f t="shared" si="16"/>
        <v>0</v>
      </c>
    </row>
    <row r="516" spans="1:21">
      <c r="A516" s="2">
        <v>515</v>
      </c>
      <c r="B516" s="2">
        <v>1</v>
      </c>
      <c r="C516" s="8">
        <f>(data!C516-AVERAGE(data!C:C))/_xlfn.STDEV.S(data!C:C)</f>
        <v>1.6755963749986986</v>
      </c>
      <c r="D516" s="2">
        <v>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8">
        <f>(data!J516-AVERAGE(data!J:J))/_xlfn.STDEV.S(data!J:J)</f>
        <v>-0.92953953711969683</v>
      </c>
      <c r="K516" s="2">
        <v>0</v>
      </c>
      <c r="L516" s="2">
        <v>0</v>
      </c>
      <c r="M516" s="2">
        <v>0</v>
      </c>
      <c r="N516" s="2">
        <v>1</v>
      </c>
      <c r="O516" s="2">
        <v>1</v>
      </c>
      <c r="P516" s="2">
        <v>1</v>
      </c>
      <c r="Q516" s="2">
        <v>0</v>
      </c>
      <c r="R516" s="2">
        <v>0</v>
      </c>
      <c r="S516" s="6" cm="1">
        <f t="array" ref="S516">$Y$2+MMULT(C516:R516,$Y$3:$Y$18)</f>
        <v>3.3033906646363835</v>
      </c>
      <c r="T516" s="7">
        <f t="shared" si="17"/>
        <v>0.96454494746632491</v>
      </c>
      <c r="U516" s="3">
        <f t="shared" si="16"/>
        <v>1</v>
      </c>
    </row>
    <row r="517" spans="1:21">
      <c r="A517" s="2">
        <v>516</v>
      </c>
      <c r="B517" s="2">
        <v>1</v>
      </c>
      <c r="C517" s="8">
        <f>(data!C517-AVERAGE(data!C:C))/_xlfn.STDEV.S(data!C:C)</f>
        <v>0.9615344393147216</v>
      </c>
      <c r="D517" s="2">
        <v>0</v>
      </c>
      <c r="E517" s="2">
        <v>1</v>
      </c>
      <c r="F517" s="2">
        <v>0</v>
      </c>
      <c r="G517" s="2">
        <v>0</v>
      </c>
      <c r="H517" s="2">
        <v>0</v>
      </c>
      <c r="I517" s="2">
        <v>0</v>
      </c>
      <c r="J517" s="8">
        <f>(data!J517-AVERAGE(data!J:J))/_xlfn.STDEV.S(data!J:J)</f>
        <v>-0.33932790450671924</v>
      </c>
      <c r="K517" s="2">
        <v>1</v>
      </c>
      <c r="L517" s="2">
        <v>0</v>
      </c>
      <c r="M517" s="2">
        <v>1</v>
      </c>
      <c r="N517" s="2">
        <v>1</v>
      </c>
      <c r="O517" s="2">
        <v>1</v>
      </c>
      <c r="P517" s="2">
        <v>1</v>
      </c>
      <c r="Q517" s="2">
        <v>0</v>
      </c>
      <c r="R517" s="2">
        <v>0</v>
      </c>
      <c r="S517" s="6" cm="1">
        <f t="array" ref="S517">$Y$2+MMULT(C517:R517,$Y$3:$Y$18)</f>
        <v>0.83180945217655733</v>
      </c>
      <c r="T517" s="7">
        <f t="shared" si="17"/>
        <v>0.69673739298008008</v>
      </c>
      <c r="U517" s="3">
        <f t="shared" si="16"/>
        <v>1</v>
      </c>
    </row>
    <row r="518" spans="1:21">
      <c r="A518" s="2">
        <v>517</v>
      </c>
      <c r="B518" s="2">
        <v>0</v>
      </c>
      <c r="C518" s="8">
        <f>(data!C518-AVERAGE(data!C:C))/_xlfn.STDEV.S(data!C:C)</f>
        <v>0.24747250363074461</v>
      </c>
      <c r="D518" s="2">
        <v>1</v>
      </c>
      <c r="E518" s="2">
        <v>1</v>
      </c>
      <c r="F518" s="2">
        <v>0</v>
      </c>
      <c r="G518" s="2">
        <v>1</v>
      </c>
      <c r="H518" s="2">
        <v>0</v>
      </c>
      <c r="I518" s="2">
        <v>0</v>
      </c>
      <c r="J518" s="8">
        <f>(data!J518-AVERAGE(data!J:J))/_xlfn.STDEV.S(data!J:J)</f>
        <v>-4.4222088200230422E-2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>
        <v>1</v>
      </c>
      <c r="Q518" s="2">
        <v>0</v>
      </c>
      <c r="R518" s="2">
        <v>0</v>
      </c>
      <c r="S518" s="6" cm="1">
        <f t="array" ref="S518">$Y$2+MMULT(C518:R518,$Y$3:$Y$18)</f>
        <v>-4.6439869432247773</v>
      </c>
      <c r="T518" s="7">
        <f t="shared" si="17"/>
        <v>9.527620838109525E-3</v>
      </c>
      <c r="U518" s="3">
        <f t="shared" si="16"/>
        <v>0</v>
      </c>
    </row>
    <row r="519" spans="1:21">
      <c r="A519" s="2">
        <v>518</v>
      </c>
      <c r="B519" s="2">
        <v>0</v>
      </c>
      <c r="C519" s="8">
        <f>(data!C519-AVERAGE(data!C:C))/_xlfn.STDEV.S(data!C:C)</f>
        <v>0.79351986621260939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8">
        <f>(data!J519-AVERAGE(data!J:J))/_xlfn.STDEV.S(data!J:J)</f>
        <v>-4.4222088200230422E-2</v>
      </c>
      <c r="K519" s="2">
        <v>0</v>
      </c>
      <c r="L519" s="2">
        <v>0</v>
      </c>
      <c r="M519" s="2">
        <v>1</v>
      </c>
      <c r="N519" s="2">
        <v>1</v>
      </c>
      <c r="O519" s="2">
        <v>0</v>
      </c>
      <c r="P519" s="2">
        <v>1</v>
      </c>
      <c r="Q519" s="2">
        <v>0</v>
      </c>
      <c r="R519" s="2">
        <v>0</v>
      </c>
      <c r="S519" s="6" cm="1">
        <f t="array" ref="S519">$Y$2+MMULT(C519:R519,$Y$3:$Y$18)</f>
        <v>-1.8133757980086451</v>
      </c>
      <c r="T519" s="7">
        <f t="shared" si="17"/>
        <v>0.14023062475626863</v>
      </c>
      <c r="U519" s="3">
        <f t="shared" si="16"/>
        <v>0</v>
      </c>
    </row>
    <row r="520" spans="1:21">
      <c r="A520" s="2">
        <v>519</v>
      </c>
      <c r="B520" s="2">
        <v>0</v>
      </c>
      <c r="C520" s="8">
        <f>(data!C520-AVERAGE(data!C:C))/_xlfn.STDEV.S(data!C:C)</f>
        <v>0.1634652170796885</v>
      </c>
      <c r="D520" s="2">
        <v>0</v>
      </c>
      <c r="E520" s="2">
        <v>1</v>
      </c>
      <c r="F520" s="2">
        <v>0</v>
      </c>
      <c r="G520" s="2">
        <v>0</v>
      </c>
      <c r="H520" s="2">
        <v>1</v>
      </c>
      <c r="I520" s="2">
        <v>0</v>
      </c>
      <c r="J520" s="8">
        <f>(data!J520-AVERAGE(data!J:J))/_xlfn.STDEV.S(data!J:J)</f>
        <v>0.32466018218288056</v>
      </c>
      <c r="K520" s="2">
        <v>0</v>
      </c>
      <c r="L520" s="2">
        <v>0</v>
      </c>
      <c r="M520" s="2">
        <v>1</v>
      </c>
      <c r="N520" s="2">
        <v>1</v>
      </c>
      <c r="O520" s="2">
        <v>0</v>
      </c>
      <c r="P520" s="2">
        <v>1</v>
      </c>
      <c r="Q520" s="2">
        <v>0</v>
      </c>
      <c r="R520" s="2">
        <v>0</v>
      </c>
      <c r="S520" s="6" cm="1">
        <f t="array" ref="S520">$Y$2+MMULT(C520:R520,$Y$3:$Y$18)</f>
        <v>-8.330733158292194</v>
      </c>
      <c r="T520" s="7">
        <f t="shared" si="17"/>
        <v>2.4093722765807391E-4</v>
      </c>
      <c r="U520" s="3">
        <f t="shared" si="16"/>
        <v>0</v>
      </c>
    </row>
    <row r="521" spans="1:21">
      <c r="A521" s="2">
        <v>520</v>
      </c>
      <c r="B521" s="2">
        <v>0</v>
      </c>
      <c r="C521" s="8">
        <f>(data!C521-AVERAGE(data!C:C))/_xlfn.STDEV.S(data!C:C)</f>
        <v>-1.2226550110127374</v>
      </c>
      <c r="D521" s="2">
        <v>1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8">
        <f>(data!J521-AVERAGE(data!J:J))/_xlfn.STDEV.S(data!J:J)</f>
        <v>-0.26555145043009704</v>
      </c>
      <c r="K521" s="2">
        <v>0</v>
      </c>
      <c r="L521" s="2">
        <v>1</v>
      </c>
      <c r="M521" s="2">
        <v>0</v>
      </c>
      <c r="N521" s="2">
        <v>1</v>
      </c>
      <c r="O521" s="2">
        <v>0</v>
      </c>
      <c r="P521" s="2">
        <v>0</v>
      </c>
      <c r="Q521" s="2">
        <v>0</v>
      </c>
      <c r="R521" s="2">
        <v>0</v>
      </c>
      <c r="S521" s="6" cm="1">
        <f t="array" ref="S521">$Y$2+MMULT(C521:R521,$Y$3:$Y$18)</f>
        <v>-12.696296757929083</v>
      </c>
      <c r="T521" s="7">
        <f t="shared" si="17"/>
        <v>3.0624361834430509E-6</v>
      </c>
      <c r="U521" s="3">
        <f t="shared" si="16"/>
        <v>0</v>
      </c>
    </row>
    <row r="522" spans="1:21">
      <c r="A522" s="2">
        <v>521</v>
      </c>
      <c r="B522" s="2">
        <v>0</v>
      </c>
      <c r="C522" s="8">
        <f>(data!C522-AVERAGE(data!C:C))/_xlfn.STDEV.S(data!C:C)</f>
        <v>-0.63460400515534465</v>
      </c>
      <c r="D522" s="2">
        <v>1</v>
      </c>
      <c r="E522" s="2">
        <v>1</v>
      </c>
      <c r="F522" s="2">
        <v>0</v>
      </c>
      <c r="G522" s="2">
        <v>0</v>
      </c>
      <c r="H522" s="2">
        <v>0</v>
      </c>
      <c r="I522" s="2">
        <v>0</v>
      </c>
      <c r="J522" s="8">
        <f>(data!J522-AVERAGE(data!J:J))/_xlfn.STDEV.S(data!J:J)</f>
        <v>0.54598954441274716</v>
      </c>
      <c r="K522" s="2">
        <v>1</v>
      </c>
      <c r="L522" s="2">
        <v>1</v>
      </c>
      <c r="M522" s="2">
        <v>0</v>
      </c>
      <c r="N522" s="2">
        <v>1</v>
      </c>
      <c r="O522" s="2">
        <v>0</v>
      </c>
      <c r="P522" s="2">
        <v>1</v>
      </c>
      <c r="Q522" s="2">
        <v>0</v>
      </c>
      <c r="R522" s="2">
        <v>0</v>
      </c>
      <c r="S522" s="6" cm="1">
        <f t="array" ref="S522">$Y$2+MMULT(C522:R522,$Y$3:$Y$18)</f>
        <v>-12.012342230497534</v>
      </c>
      <c r="T522" s="7">
        <f t="shared" si="17"/>
        <v>6.0688082941589678E-6</v>
      </c>
      <c r="U522" s="3">
        <f t="shared" si="16"/>
        <v>0</v>
      </c>
    </row>
    <row r="523" spans="1:21">
      <c r="A523" s="2">
        <v>522</v>
      </c>
      <c r="B523" s="2">
        <v>0</v>
      </c>
      <c r="C523" s="8">
        <f>(data!C523-AVERAGE(data!C:C))/_xlfn.STDEV.S(data!C:C)</f>
        <v>-1.2646586542882654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8">
        <f>(data!J523-AVERAGE(data!J:J))/_xlfn.STDEV.S(data!J:J)</f>
        <v>-0.11799854227685262</v>
      </c>
      <c r="K523" s="2">
        <v>0</v>
      </c>
      <c r="L523" s="2">
        <v>1</v>
      </c>
      <c r="M523" s="2">
        <v>0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6" cm="1">
        <f t="array" ref="S523">$Y$2+MMULT(C523:R523,$Y$3:$Y$18)</f>
        <v>-11.335999789434073</v>
      </c>
      <c r="T523" s="7">
        <f t="shared" si="17"/>
        <v>1.1935281351688007E-5</v>
      </c>
      <c r="U523" s="3">
        <f t="shared" si="16"/>
        <v>0</v>
      </c>
    </row>
    <row r="524" spans="1:21">
      <c r="A524" s="2">
        <v>523</v>
      </c>
      <c r="B524" s="2">
        <v>0</v>
      </c>
      <c r="C524" s="8">
        <f>(data!C524-AVERAGE(data!C:C))/_xlfn.STDEV.S(data!C:C)</f>
        <v>-0.29857485895112013</v>
      </c>
      <c r="D524" s="2">
        <v>1</v>
      </c>
      <c r="E524" s="2">
        <v>1</v>
      </c>
      <c r="F524" s="2">
        <v>0</v>
      </c>
      <c r="G524" s="2">
        <v>1</v>
      </c>
      <c r="H524" s="2">
        <v>0</v>
      </c>
      <c r="I524" s="2">
        <v>0</v>
      </c>
      <c r="J524" s="8">
        <f>(data!J524-AVERAGE(data!J:J))/_xlfn.STDEV.S(data!J:J)</f>
        <v>0.25088372810625836</v>
      </c>
      <c r="K524" s="2">
        <v>1</v>
      </c>
      <c r="L524" s="2">
        <v>0</v>
      </c>
      <c r="M524" s="2">
        <v>1</v>
      </c>
      <c r="N524" s="2">
        <v>1</v>
      </c>
      <c r="O524" s="2">
        <v>1</v>
      </c>
      <c r="P524" s="2">
        <v>1</v>
      </c>
      <c r="Q524" s="2">
        <v>0</v>
      </c>
      <c r="R524" s="2">
        <v>0</v>
      </c>
      <c r="S524" s="6" cm="1">
        <f t="array" ref="S524">$Y$2+MMULT(C524:R524,$Y$3:$Y$18)</f>
        <v>-6.8869648996457276</v>
      </c>
      <c r="T524" s="7">
        <f t="shared" si="17"/>
        <v>1.019966610754254E-3</v>
      </c>
      <c r="U524" s="3">
        <f t="shared" si="16"/>
        <v>0</v>
      </c>
    </row>
    <row r="525" spans="1:21">
      <c r="A525" s="2">
        <v>524</v>
      </c>
      <c r="B525" s="2">
        <v>0</v>
      </c>
      <c r="C525" s="8">
        <f>(data!C525-AVERAGE(data!C:C))/_xlfn.STDEV.S(data!C:C)</f>
        <v>0.37348343345732876</v>
      </c>
      <c r="D525" s="2">
        <v>0</v>
      </c>
      <c r="E525" s="2">
        <v>1</v>
      </c>
      <c r="F525" s="2">
        <v>1</v>
      </c>
      <c r="G525" s="2">
        <v>0</v>
      </c>
      <c r="H525" s="2">
        <v>1</v>
      </c>
      <c r="I525" s="2">
        <v>0</v>
      </c>
      <c r="J525" s="8">
        <f>(data!J525-AVERAGE(data!J:J))/_xlfn.STDEV.S(data!J:J)</f>
        <v>-0.41310435858334144</v>
      </c>
      <c r="K525" s="2">
        <v>0</v>
      </c>
      <c r="L525" s="2">
        <v>1</v>
      </c>
      <c r="M525" s="2">
        <v>1</v>
      </c>
      <c r="N525" s="2">
        <v>1</v>
      </c>
      <c r="O525" s="2">
        <v>1</v>
      </c>
      <c r="P525" s="2">
        <v>1</v>
      </c>
      <c r="Q525" s="2">
        <v>0</v>
      </c>
      <c r="R525" s="2">
        <v>1</v>
      </c>
      <c r="S525" s="6" cm="1">
        <f t="array" ref="S525">$Y$2+MMULT(C525:R525,$Y$3:$Y$18)</f>
        <v>-7.0335802082385399</v>
      </c>
      <c r="T525" s="7">
        <f t="shared" si="17"/>
        <v>8.809923733167802E-4</v>
      </c>
      <c r="U525" s="3">
        <f t="shared" si="16"/>
        <v>0</v>
      </c>
    </row>
    <row r="526" spans="1:21">
      <c r="A526" s="2">
        <v>525</v>
      </c>
      <c r="B526" s="2">
        <v>1</v>
      </c>
      <c r="C526" s="8">
        <f>(data!C526-AVERAGE(data!C:C))/_xlfn.STDEV.S(data!C:C)</f>
        <v>1.4655781586210583</v>
      </c>
      <c r="D526" s="2">
        <v>1</v>
      </c>
      <c r="E526" s="2">
        <v>1</v>
      </c>
      <c r="F526" s="2">
        <v>0</v>
      </c>
      <c r="G526" s="2">
        <v>1</v>
      </c>
      <c r="H526" s="2">
        <v>0</v>
      </c>
      <c r="I526" s="2">
        <v>0</v>
      </c>
      <c r="J526" s="8">
        <f>(data!J526-AVERAGE(data!J:J))/_xlfn.STDEV.S(data!J:J)</f>
        <v>-0.63443372081320804</v>
      </c>
      <c r="K526" s="2">
        <v>1</v>
      </c>
      <c r="L526" s="2">
        <v>0</v>
      </c>
      <c r="M526" s="2">
        <v>1</v>
      </c>
      <c r="N526" s="2">
        <v>1</v>
      </c>
      <c r="O526" s="2">
        <v>0</v>
      </c>
      <c r="P526" s="2">
        <v>1</v>
      </c>
      <c r="Q526" s="2">
        <v>0</v>
      </c>
      <c r="R526" s="2">
        <v>0</v>
      </c>
      <c r="S526" s="6" cm="1">
        <f t="array" ref="S526">$Y$2+MMULT(C526:R526,$Y$3:$Y$18)</f>
        <v>1.3999973904958463</v>
      </c>
      <c r="T526" s="7">
        <f t="shared" si="17"/>
        <v>0.80218347446935612</v>
      </c>
      <c r="U526" s="3">
        <f t="shared" si="16"/>
        <v>1</v>
      </c>
    </row>
    <row r="527" spans="1:21">
      <c r="A527" s="2">
        <v>526</v>
      </c>
      <c r="B527" s="2">
        <v>1</v>
      </c>
      <c r="C527" s="8">
        <f>(data!C527-AVERAGE(data!C:C))/_xlfn.STDEV.S(data!C:C)</f>
        <v>-4.5493560224237357E-3</v>
      </c>
      <c r="D527" s="2">
        <v>1</v>
      </c>
      <c r="E527" s="2">
        <v>1</v>
      </c>
      <c r="F527" s="2">
        <v>0</v>
      </c>
      <c r="G527" s="2">
        <v>1</v>
      </c>
      <c r="H527" s="2">
        <v>0</v>
      </c>
      <c r="I527" s="2">
        <v>0</v>
      </c>
      <c r="J527" s="8">
        <f>(data!J527-AVERAGE(data!J:J))/_xlfn.STDEV.S(data!J:J)</f>
        <v>0.76731890664261382</v>
      </c>
      <c r="K527" s="2">
        <v>1</v>
      </c>
      <c r="L527" s="2">
        <v>1</v>
      </c>
      <c r="M527" s="2">
        <v>0</v>
      </c>
      <c r="N527" s="2">
        <v>0</v>
      </c>
      <c r="O527" s="2">
        <v>0</v>
      </c>
      <c r="P527" s="2">
        <v>1</v>
      </c>
      <c r="Q527" s="2">
        <v>1</v>
      </c>
      <c r="R527" s="2">
        <v>0</v>
      </c>
      <c r="S527" s="6" cm="1">
        <f t="array" ref="S527">$Y$2+MMULT(C527:R527,$Y$3:$Y$18)</f>
        <v>-7.4136917744025546</v>
      </c>
      <c r="T527" s="7">
        <f t="shared" si="17"/>
        <v>6.0257734140140755E-4</v>
      </c>
      <c r="U527" s="3">
        <f t="shared" si="16"/>
        <v>0</v>
      </c>
    </row>
    <row r="528" spans="1:21">
      <c r="A528" s="2">
        <v>527</v>
      </c>
      <c r="B528" s="2">
        <v>0</v>
      </c>
      <c r="C528" s="8">
        <f>(data!C528-AVERAGE(data!C:C))/_xlfn.STDEV.S(data!C:C)</f>
        <v>-0.7186112917064007</v>
      </c>
      <c r="D528" s="2">
        <v>1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8">
        <f>(data!J528-AVERAGE(data!J:J))/_xlfn.STDEV.S(data!J:J)</f>
        <v>-0.48688081265996364</v>
      </c>
      <c r="K528" s="2">
        <v>0</v>
      </c>
      <c r="L528" s="2">
        <v>0</v>
      </c>
      <c r="M528" s="2">
        <v>0</v>
      </c>
      <c r="N528" s="2">
        <v>1</v>
      </c>
      <c r="O528" s="2">
        <v>1</v>
      </c>
      <c r="P528" s="2">
        <v>1</v>
      </c>
      <c r="Q528" s="2">
        <v>0</v>
      </c>
      <c r="R528" s="2">
        <v>1</v>
      </c>
      <c r="S528" s="6" cm="1">
        <f t="array" ref="S528">$Y$2+MMULT(C528:R528,$Y$3:$Y$18)</f>
        <v>-10.484248131219948</v>
      </c>
      <c r="T528" s="7">
        <f t="shared" si="17"/>
        <v>2.797285158301662E-5</v>
      </c>
      <c r="U528" s="3">
        <f t="shared" si="16"/>
        <v>0</v>
      </c>
    </row>
    <row r="529" spans="1:21">
      <c r="A529" s="2">
        <v>528</v>
      </c>
      <c r="B529" s="2">
        <v>0</v>
      </c>
      <c r="C529" s="8">
        <f>(data!C529-AVERAGE(data!C:C))/_xlfn.STDEV.S(data!C:C)</f>
        <v>-4.6552999297951793E-2</v>
      </c>
      <c r="D529" s="2">
        <v>0</v>
      </c>
      <c r="E529" s="2">
        <v>0</v>
      </c>
      <c r="F529" s="2">
        <v>1</v>
      </c>
      <c r="G529" s="2">
        <v>0</v>
      </c>
      <c r="H529" s="2">
        <v>0</v>
      </c>
      <c r="I529" s="2">
        <v>0</v>
      </c>
      <c r="J529" s="8">
        <f>(data!J529-AVERAGE(data!J:J))/_xlfn.STDEV.S(data!J:J)</f>
        <v>1.5788599014854581</v>
      </c>
      <c r="K529" s="2">
        <v>0</v>
      </c>
      <c r="L529" s="2">
        <v>0</v>
      </c>
      <c r="M529" s="2">
        <v>1</v>
      </c>
      <c r="N529" s="2">
        <v>1</v>
      </c>
      <c r="O529" s="2">
        <v>0</v>
      </c>
      <c r="P529" s="2">
        <v>1</v>
      </c>
      <c r="Q529" s="2">
        <v>0</v>
      </c>
      <c r="R529" s="2">
        <v>1</v>
      </c>
      <c r="S529" s="6" cm="1">
        <f t="array" ref="S529">$Y$2+MMULT(C529:R529,$Y$3:$Y$18)</f>
        <v>-6.2402212851450773</v>
      </c>
      <c r="T529" s="7">
        <f t="shared" si="17"/>
        <v>1.9456312361041466E-3</v>
      </c>
      <c r="U529" s="3">
        <f t="shared" si="16"/>
        <v>0</v>
      </c>
    </row>
    <row r="530" spans="1:21">
      <c r="A530" s="2">
        <v>529</v>
      </c>
      <c r="B530" s="2">
        <v>0</v>
      </c>
      <c r="C530" s="8">
        <f>(data!C530-AVERAGE(data!C:C))/_xlfn.STDEV.S(data!C:C)</f>
        <v>-0.76061493498192878</v>
      </c>
      <c r="D530" s="2">
        <v>1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8">
        <f>(data!J530-AVERAGE(data!J:J))/_xlfn.STDEV.S(data!J:J)</f>
        <v>-0.56065726673658578</v>
      </c>
      <c r="K530" s="2">
        <v>0</v>
      </c>
      <c r="L530" s="2">
        <v>0</v>
      </c>
      <c r="M530" s="2">
        <v>0</v>
      </c>
      <c r="N530" s="2">
        <v>0</v>
      </c>
      <c r="O530" s="2">
        <v>1</v>
      </c>
      <c r="P530" s="2">
        <v>1</v>
      </c>
      <c r="Q530" s="2">
        <v>0</v>
      </c>
      <c r="R530" s="2">
        <v>0</v>
      </c>
      <c r="S530" s="6" cm="1">
        <f t="array" ref="S530">$Y$2+MMULT(C530:R530,$Y$3:$Y$18)</f>
        <v>-10.535607399564483</v>
      </c>
      <c r="T530" s="7">
        <f t="shared" si="17"/>
        <v>2.657249306798149E-5</v>
      </c>
      <c r="U530" s="3">
        <f t="shared" si="16"/>
        <v>0</v>
      </c>
    </row>
    <row r="531" spans="1:21">
      <c r="A531" s="2">
        <v>530</v>
      </c>
      <c r="B531" s="2">
        <v>0</v>
      </c>
      <c r="C531" s="8">
        <f>(data!C531-AVERAGE(data!C:C))/_xlfn.STDEV.S(data!C:C)</f>
        <v>0.9615344393147216</v>
      </c>
      <c r="D531" s="2">
        <v>0</v>
      </c>
      <c r="E531" s="2">
        <v>0</v>
      </c>
      <c r="F531" s="2">
        <v>1</v>
      </c>
      <c r="G531" s="2">
        <v>1</v>
      </c>
      <c r="H531" s="2">
        <v>0</v>
      </c>
      <c r="I531" s="2">
        <v>0</v>
      </c>
      <c r="J531" s="8">
        <f>(data!J531-AVERAGE(data!J:J))/_xlfn.STDEV.S(data!J:J)</f>
        <v>-1.0770924452729411</v>
      </c>
      <c r="K531" s="2">
        <v>0</v>
      </c>
      <c r="L531" s="2">
        <v>0</v>
      </c>
      <c r="M531" s="2">
        <v>0</v>
      </c>
      <c r="N531" s="2">
        <v>0</v>
      </c>
      <c r="O531" s="2">
        <v>1</v>
      </c>
      <c r="P531" s="2">
        <v>1</v>
      </c>
      <c r="Q531" s="2">
        <v>0</v>
      </c>
      <c r="R531" s="2">
        <v>0</v>
      </c>
      <c r="S531" s="6" cm="1">
        <f t="array" ref="S531">$Y$2+MMULT(C531:R531,$Y$3:$Y$18)</f>
        <v>-2.0969422341147008</v>
      </c>
      <c r="T531" s="7">
        <f t="shared" si="17"/>
        <v>0.1093943752798833</v>
      </c>
      <c r="U531" s="3">
        <f t="shared" si="16"/>
        <v>0</v>
      </c>
    </row>
    <row r="532" spans="1:21">
      <c r="A532" s="2">
        <v>531</v>
      </c>
      <c r="B532" s="2">
        <v>0</v>
      </c>
      <c r="C532" s="8">
        <f>(data!C532-AVERAGE(data!C:C))/_xlfn.STDEV.S(data!C:C)</f>
        <v>1.4655781586210583</v>
      </c>
      <c r="D532" s="2">
        <v>1</v>
      </c>
      <c r="E532" s="2">
        <v>1</v>
      </c>
      <c r="F532" s="2">
        <v>0</v>
      </c>
      <c r="G532" s="2">
        <v>0</v>
      </c>
      <c r="H532" s="2">
        <v>0</v>
      </c>
      <c r="I532" s="2">
        <v>0</v>
      </c>
      <c r="J532" s="8">
        <f>(data!J532-AVERAGE(data!J:J))/_xlfn.STDEV.S(data!J:J)</f>
        <v>-0.41310435858334144</v>
      </c>
      <c r="K532" s="2">
        <v>1</v>
      </c>
      <c r="L532" s="2">
        <v>0</v>
      </c>
      <c r="M532" s="2">
        <v>1</v>
      </c>
      <c r="N532" s="2">
        <v>1</v>
      </c>
      <c r="O532" s="2">
        <v>0</v>
      </c>
      <c r="P532" s="2">
        <v>1</v>
      </c>
      <c r="Q532" s="2">
        <v>0</v>
      </c>
      <c r="R532" s="2">
        <v>1</v>
      </c>
      <c r="S532" s="6" cm="1">
        <f t="array" ref="S532">$Y$2+MMULT(C532:R532,$Y$3:$Y$18)</f>
        <v>2.4883900498085989</v>
      </c>
      <c r="T532" s="7">
        <f t="shared" si="17"/>
        <v>0.92332390085792582</v>
      </c>
      <c r="U532" s="3">
        <f t="shared" si="16"/>
        <v>1</v>
      </c>
    </row>
    <row r="533" spans="1:21">
      <c r="A533" s="2">
        <v>532</v>
      </c>
      <c r="B533" s="2">
        <v>0</v>
      </c>
      <c r="C533" s="8">
        <f>(data!C533-AVERAGE(data!C:C))/_xlfn.STDEV.S(data!C:C)</f>
        <v>0.79351986621260939</v>
      </c>
      <c r="D533" s="2">
        <v>0</v>
      </c>
      <c r="E533" s="2">
        <v>0</v>
      </c>
      <c r="F533" s="2">
        <v>0</v>
      </c>
      <c r="G533" s="2">
        <v>1</v>
      </c>
      <c r="H533" s="2">
        <v>0</v>
      </c>
      <c r="I533" s="2">
        <v>0</v>
      </c>
      <c r="J533" s="8">
        <f>(data!J533-AVERAGE(data!J:J))/_xlfn.STDEV.S(data!J:J)</f>
        <v>-1.2246453534261856</v>
      </c>
      <c r="K533" s="2">
        <v>0</v>
      </c>
      <c r="L533" s="2">
        <v>0</v>
      </c>
      <c r="M533" s="2">
        <v>0</v>
      </c>
      <c r="N533" s="2">
        <v>0</v>
      </c>
      <c r="O533" s="2">
        <v>1</v>
      </c>
      <c r="P533" s="2">
        <v>1</v>
      </c>
      <c r="Q533" s="2">
        <v>0</v>
      </c>
      <c r="R533" s="2">
        <v>0</v>
      </c>
      <c r="S533" s="6" cm="1">
        <f t="array" ref="S533">$Y$2+MMULT(C533:R533,$Y$3:$Y$18)</f>
        <v>-2.5837195377855209</v>
      </c>
      <c r="T533" s="7">
        <f t="shared" si="17"/>
        <v>7.0193581455414489E-2</v>
      </c>
      <c r="U533" s="3">
        <f t="shared" si="16"/>
        <v>0</v>
      </c>
    </row>
    <row r="534" spans="1:21">
      <c r="A534" s="2">
        <v>533</v>
      </c>
      <c r="B534" s="2">
        <v>0</v>
      </c>
      <c r="C534" s="8">
        <f>(data!C534-AVERAGE(data!C:C))/_xlfn.STDEV.S(data!C:C)</f>
        <v>0.5835016498349691</v>
      </c>
      <c r="D534" s="2">
        <v>0</v>
      </c>
      <c r="E534" s="2">
        <v>0</v>
      </c>
      <c r="F534" s="2">
        <v>0</v>
      </c>
      <c r="G534" s="2">
        <v>1</v>
      </c>
      <c r="H534" s="2">
        <v>0</v>
      </c>
      <c r="I534" s="2">
        <v>0</v>
      </c>
      <c r="J534" s="8">
        <f>(data!J534-AVERAGE(data!J:J))/_xlfn.STDEV.S(data!J:J)</f>
        <v>-1.0770924452729411</v>
      </c>
      <c r="K534" s="2">
        <v>0</v>
      </c>
      <c r="L534" s="2">
        <v>0</v>
      </c>
      <c r="M534" s="2">
        <v>0</v>
      </c>
      <c r="N534" s="2">
        <v>1</v>
      </c>
      <c r="O534" s="2">
        <v>1</v>
      </c>
      <c r="P534" s="2">
        <v>1</v>
      </c>
      <c r="Q534" s="2">
        <v>0</v>
      </c>
      <c r="R534" s="2">
        <v>0</v>
      </c>
      <c r="S534" s="6" cm="1">
        <f t="array" ref="S534">$Y$2+MMULT(C534:R534,$Y$3:$Y$18)</f>
        <v>-4.2099946464356872</v>
      </c>
      <c r="T534" s="7">
        <f t="shared" si="17"/>
        <v>1.4629255343199454E-2</v>
      </c>
      <c r="U534" s="3">
        <f t="shared" si="16"/>
        <v>0</v>
      </c>
    </row>
    <row r="535" spans="1:21">
      <c r="A535" s="2">
        <v>534</v>
      </c>
      <c r="B535" s="2">
        <v>0</v>
      </c>
      <c r="C535" s="8">
        <f>(data!C535-AVERAGE(data!C:C))/_xlfn.STDEV.S(data!C:C)</f>
        <v>-1.2646586542882654</v>
      </c>
      <c r="D535" s="2">
        <v>1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8">
        <f>(data!J535-AVERAGE(data!J:J))/_xlfn.STDEV.S(data!J:J)</f>
        <v>-1.1508688993495635</v>
      </c>
      <c r="K535" s="2">
        <v>1</v>
      </c>
      <c r="L535" s="2">
        <v>0</v>
      </c>
      <c r="M535" s="2">
        <v>0</v>
      </c>
      <c r="N535" s="2">
        <v>1</v>
      </c>
      <c r="O535" s="2">
        <v>0</v>
      </c>
      <c r="P535" s="2">
        <v>1</v>
      </c>
      <c r="Q535" s="2">
        <v>0</v>
      </c>
      <c r="R535" s="2">
        <v>0</v>
      </c>
      <c r="S535" s="6" cm="1">
        <f t="array" ref="S535">$Y$2+MMULT(C535:R535,$Y$3:$Y$18)</f>
        <v>-15.813653017374286</v>
      </c>
      <c r="T535" s="7">
        <f t="shared" si="17"/>
        <v>1.355868892636019E-7</v>
      </c>
      <c r="U535" s="3">
        <f t="shared" si="16"/>
        <v>0</v>
      </c>
    </row>
    <row r="536" spans="1:21">
      <c r="A536" s="2">
        <v>535</v>
      </c>
      <c r="B536" s="2">
        <v>0</v>
      </c>
      <c r="C536" s="8">
        <f>(data!C536-AVERAGE(data!C:C))/_xlfn.STDEV.S(data!C:C)</f>
        <v>-0.76061493498192878</v>
      </c>
      <c r="D536" s="2">
        <v>0</v>
      </c>
      <c r="E536" s="2">
        <v>0</v>
      </c>
      <c r="F536" s="2">
        <v>1</v>
      </c>
      <c r="G536" s="2">
        <v>0</v>
      </c>
      <c r="H536" s="2">
        <v>0</v>
      </c>
      <c r="I536" s="2">
        <v>0</v>
      </c>
      <c r="J536" s="8">
        <f>(data!J536-AVERAGE(data!J:J))/_xlfn.STDEV.S(data!J:J)</f>
        <v>-0.92953953711969683</v>
      </c>
      <c r="K536" s="2">
        <v>0</v>
      </c>
      <c r="L536" s="2">
        <v>0</v>
      </c>
      <c r="M536" s="2">
        <v>0</v>
      </c>
      <c r="N536" s="2">
        <v>1</v>
      </c>
      <c r="O536" s="2">
        <v>1</v>
      </c>
      <c r="P536" s="2">
        <v>1</v>
      </c>
      <c r="Q536" s="2">
        <v>0</v>
      </c>
      <c r="R536" s="2">
        <v>0</v>
      </c>
      <c r="S536" s="6" cm="1">
        <f t="array" ref="S536">$Y$2+MMULT(C536:R536,$Y$3:$Y$18)</f>
        <v>-11.997808627485245</v>
      </c>
      <c r="T536" s="7">
        <f t="shared" si="17"/>
        <v>6.1576534578591188E-6</v>
      </c>
      <c r="U536" s="3">
        <f t="shared" si="16"/>
        <v>0</v>
      </c>
    </row>
    <row r="537" spans="1:21">
      <c r="A537" s="2">
        <v>536</v>
      </c>
      <c r="B537" s="2">
        <v>1</v>
      </c>
      <c r="C537" s="8">
        <f>(data!C537-AVERAGE(data!C:C))/_xlfn.STDEV.S(data!C:C)</f>
        <v>1.2135562989678899</v>
      </c>
      <c r="D537" s="2">
        <v>0</v>
      </c>
      <c r="E537" s="2">
        <v>1</v>
      </c>
      <c r="F537" s="2">
        <v>1</v>
      </c>
      <c r="G537" s="2">
        <v>0</v>
      </c>
      <c r="H537" s="2">
        <v>1</v>
      </c>
      <c r="I537" s="2">
        <v>0</v>
      </c>
      <c r="J537" s="8">
        <f>(data!J537-AVERAGE(data!J:J))/_xlfn.STDEV.S(data!J:J)</f>
        <v>4.0134828860139908</v>
      </c>
      <c r="K537" s="2">
        <v>0</v>
      </c>
      <c r="L537" s="2">
        <v>0</v>
      </c>
      <c r="M537" s="2">
        <v>1</v>
      </c>
      <c r="N537" s="2">
        <v>1</v>
      </c>
      <c r="O537" s="2">
        <v>1</v>
      </c>
      <c r="P537" s="2">
        <v>1</v>
      </c>
      <c r="Q537" s="2">
        <v>0</v>
      </c>
      <c r="R537" s="2">
        <v>0</v>
      </c>
      <c r="S537" s="6" cm="1">
        <f t="array" ref="S537">$Y$2+MMULT(C537:R537,$Y$3:$Y$18)</f>
        <v>1.2161939547748215</v>
      </c>
      <c r="T537" s="7">
        <f t="shared" si="17"/>
        <v>0.77139306269381003</v>
      </c>
      <c r="U537" s="3">
        <f t="shared" si="16"/>
        <v>1</v>
      </c>
    </row>
    <row r="538" spans="1:21">
      <c r="A538" s="2">
        <v>537</v>
      </c>
      <c r="B538" s="2">
        <v>0</v>
      </c>
      <c r="C538" s="8">
        <f>(data!C538-AVERAGE(data!C:C))/_xlfn.STDEV.S(data!C:C)</f>
        <v>-8.8556642573479852E-2</v>
      </c>
      <c r="D538" s="2">
        <v>1</v>
      </c>
      <c r="E538" s="2">
        <v>1</v>
      </c>
      <c r="F538" s="2">
        <v>0</v>
      </c>
      <c r="G538" s="2">
        <v>1</v>
      </c>
      <c r="H538" s="2">
        <v>0</v>
      </c>
      <c r="I538" s="2">
        <v>0</v>
      </c>
      <c r="J538" s="8">
        <f>(data!J538-AVERAGE(data!J:J))/_xlfn.STDEV.S(data!J:J)</f>
        <v>0.47221309033612496</v>
      </c>
      <c r="K538" s="2">
        <v>0</v>
      </c>
      <c r="L538" s="2">
        <v>1</v>
      </c>
      <c r="M538" s="2">
        <v>1</v>
      </c>
      <c r="N538" s="2">
        <v>1</v>
      </c>
      <c r="O538" s="2">
        <v>1</v>
      </c>
      <c r="P538" s="2">
        <v>1</v>
      </c>
      <c r="Q538" s="2">
        <v>1</v>
      </c>
      <c r="R538" s="2">
        <v>0</v>
      </c>
      <c r="S538" s="6" cm="1">
        <f t="array" ref="S538">$Y$2+MMULT(C538:R538,$Y$3:$Y$18)</f>
        <v>-5.593053239920577</v>
      </c>
      <c r="T538" s="7">
        <f t="shared" si="17"/>
        <v>3.7098272542238891E-3</v>
      </c>
      <c r="U538" s="3">
        <f t="shared" si="16"/>
        <v>0</v>
      </c>
    </row>
    <row r="539" spans="1:21">
      <c r="A539" s="2">
        <v>538</v>
      </c>
      <c r="B539" s="2">
        <v>0</v>
      </c>
      <c r="C539" s="8">
        <f>(data!C539-AVERAGE(data!C:C))/_xlfn.STDEV.S(data!C:C)</f>
        <v>-0.46658943205323239</v>
      </c>
      <c r="D539" s="2">
        <v>1</v>
      </c>
      <c r="E539" s="2">
        <v>0</v>
      </c>
      <c r="F539" s="2">
        <v>0</v>
      </c>
      <c r="G539" s="2">
        <v>1</v>
      </c>
      <c r="H539" s="2">
        <v>0</v>
      </c>
      <c r="I539" s="2">
        <v>0</v>
      </c>
      <c r="J539" s="8">
        <f>(data!J539-AVERAGE(data!J:J))/_xlfn.STDEV.S(data!J:J)</f>
        <v>-0.63443372081320804</v>
      </c>
      <c r="K539" s="2">
        <v>0</v>
      </c>
      <c r="L539" s="2">
        <v>1</v>
      </c>
      <c r="M539" s="2">
        <v>0</v>
      </c>
      <c r="N539" s="2">
        <v>0</v>
      </c>
      <c r="O539" s="2">
        <v>1</v>
      </c>
      <c r="P539" s="2">
        <v>1</v>
      </c>
      <c r="Q539" s="2">
        <v>0</v>
      </c>
      <c r="R539" s="2">
        <v>0</v>
      </c>
      <c r="S539" s="6" cm="1">
        <f t="array" ref="S539">$Y$2+MMULT(C539:R539,$Y$3:$Y$18)</f>
        <v>-10.40115976693961</v>
      </c>
      <c r="T539" s="7">
        <f t="shared" si="17"/>
        <v>3.0396284917336491E-5</v>
      </c>
      <c r="U539" s="3">
        <f t="shared" si="16"/>
        <v>0</v>
      </c>
    </row>
    <row r="540" spans="1:21">
      <c r="A540" s="2">
        <v>539</v>
      </c>
      <c r="B540" s="2">
        <v>0</v>
      </c>
      <c r="C540" s="8">
        <f>(data!C540-AVERAGE(data!C:C))/_xlfn.STDEV.S(data!C:C)</f>
        <v>0.5835016498349691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8">
        <f>(data!J540-AVERAGE(data!J:J))/_xlfn.STDEV.S(data!J:J)</f>
        <v>-0.41310435858334144</v>
      </c>
      <c r="K540" s="2">
        <v>0</v>
      </c>
      <c r="L540" s="2">
        <v>0</v>
      </c>
      <c r="M540" s="2">
        <v>0</v>
      </c>
      <c r="N540" s="2">
        <v>1</v>
      </c>
      <c r="O540" s="2">
        <v>1</v>
      </c>
      <c r="P540" s="2">
        <v>1</v>
      </c>
      <c r="Q540" s="2">
        <v>0</v>
      </c>
      <c r="R540" s="2">
        <v>0</v>
      </c>
      <c r="S540" s="6" cm="1">
        <f t="array" ref="S540">$Y$2+MMULT(C540:R540,$Y$3:$Y$18)</f>
        <v>-3.0783589276382224</v>
      </c>
      <c r="T540" s="7">
        <f t="shared" si="17"/>
        <v>4.4008807002004179E-2</v>
      </c>
      <c r="U540" s="3">
        <f t="shared" si="16"/>
        <v>0</v>
      </c>
    </row>
    <row r="541" spans="1:21">
      <c r="A541" s="2">
        <v>540</v>
      </c>
      <c r="B541" s="2">
        <v>0</v>
      </c>
      <c r="C541" s="8">
        <f>(data!C541-AVERAGE(data!C:C))/_xlfn.STDEV.S(data!C:C)</f>
        <v>-1.4326732273903777</v>
      </c>
      <c r="D541" s="2">
        <v>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8">
        <f>(data!J541-AVERAGE(data!J:J))/_xlfn.STDEV.S(data!J:J)</f>
        <v>-1.2984218075028078</v>
      </c>
      <c r="K541" s="2">
        <v>0</v>
      </c>
      <c r="L541" s="2">
        <v>1</v>
      </c>
      <c r="M541" s="2">
        <v>0</v>
      </c>
      <c r="N541" s="2">
        <v>0</v>
      </c>
      <c r="O541" s="2">
        <v>1</v>
      </c>
      <c r="P541" s="2">
        <v>1</v>
      </c>
      <c r="Q541" s="2">
        <v>0</v>
      </c>
      <c r="R541" s="2">
        <v>0</v>
      </c>
      <c r="S541" s="6" cm="1">
        <f t="array" ref="S541">$Y$2+MMULT(C541:R541,$Y$3:$Y$18)</f>
        <v>-15.815163242682194</v>
      </c>
      <c r="T541" s="7">
        <f t="shared" si="17"/>
        <v>1.3538227708387287E-7</v>
      </c>
      <c r="U541" s="3">
        <f t="shared" si="16"/>
        <v>0</v>
      </c>
    </row>
    <row r="542" spans="1:21">
      <c r="A542" s="2">
        <v>541</v>
      </c>
      <c r="B542" s="2">
        <v>0</v>
      </c>
      <c r="C542" s="8">
        <f>(data!C542-AVERAGE(data!C:C))/_xlfn.STDEV.S(data!C:C)</f>
        <v>-0.76061493498192878</v>
      </c>
      <c r="D542" s="2">
        <v>1</v>
      </c>
      <c r="E542" s="2">
        <v>0</v>
      </c>
      <c r="F542" s="2">
        <v>0</v>
      </c>
      <c r="G542" s="2">
        <v>1</v>
      </c>
      <c r="H542" s="2">
        <v>0</v>
      </c>
      <c r="I542" s="2">
        <v>0</v>
      </c>
      <c r="J542" s="8">
        <f>(data!J542-AVERAGE(data!J:J))/_xlfn.STDEV.S(data!J:J)</f>
        <v>1.2837540851789693</v>
      </c>
      <c r="K542" s="2">
        <v>0</v>
      </c>
      <c r="L542" s="2">
        <v>1</v>
      </c>
      <c r="M542" s="2">
        <v>0</v>
      </c>
      <c r="N542" s="2">
        <v>1</v>
      </c>
      <c r="O542" s="2">
        <v>1</v>
      </c>
      <c r="P542" s="2">
        <v>1</v>
      </c>
      <c r="Q542" s="2">
        <v>0</v>
      </c>
      <c r="R542" s="2">
        <v>0</v>
      </c>
      <c r="S542" s="6" cm="1">
        <f t="array" ref="S542">$Y$2+MMULT(C542:R542,$Y$3:$Y$18)</f>
        <v>-11.477792491200134</v>
      </c>
      <c r="T542" s="7">
        <f t="shared" si="17"/>
        <v>1.0357467003896318E-5</v>
      </c>
      <c r="U542" s="3">
        <f t="shared" si="16"/>
        <v>0</v>
      </c>
    </row>
    <row r="543" spans="1:21">
      <c r="A543" s="2">
        <v>542</v>
      </c>
      <c r="B543" s="2">
        <v>0</v>
      </c>
      <c r="C543" s="8">
        <f>(data!C543-AVERAGE(data!C:C))/_xlfn.STDEV.S(data!C:C)</f>
        <v>-8.8556642573479852E-2</v>
      </c>
      <c r="D543" s="2">
        <v>0</v>
      </c>
      <c r="E543" s="2">
        <v>1</v>
      </c>
      <c r="F543" s="2">
        <v>0</v>
      </c>
      <c r="G543" s="2">
        <v>0</v>
      </c>
      <c r="H543" s="2">
        <v>0</v>
      </c>
      <c r="I543" s="2">
        <v>0</v>
      </c>
      <c r="J543" s="8">
        <f>(data!J543-AVERAGE(data!J:J))/_xlfn.STDEV.S(data!J:J)</f>
        <v>1.2099776311023469</v>
      </c>
      <c r="K543" s="2">
        <v>1</v>
      </c>
      <c r="L543" s="2">
        <v>1</v>
      </c>
      <c r="M543" s="2">
        <v>0</v>
      </c>
      <c r="N543" s="2">
        <v>0</v>
      </c>
      <c r="O543" s="2">
        <v>1</v>
      </c>
      <c r="P543" s="2">
        <v>1</v>
      </c>
      <c r="Q543" s="2">
        <v>0</v>
      </c>
      <c r="R543" s="2">
        <v>0</v>
      </c>
      <c r="S543" s="6" cm="1">
        <f t="array" ref="S543">$Y$2+MMULT(C543:R543,$Y$3:$Y$18)</f>
        <v>-6.3788084546790493</v>
      </c>
      <c r="T543" s="7">
        <f t="shared" si="17"/>
        <v>1.6942685586013608E-3</v>
      </c>
      <c r="U543" s="3">
        <f t="shared" si="16"/>
        <v>0</v>
      </c>
    </row>
    <row r="544" spans="1:21">
      <c r="A544" s="2">
        <v>543</v>
      </c>
      <c r="B544" s="2">
        <v>0</v>
      </c>
      <c r="C544" s="8">
        <f>(data!C544-AVERAGE(data!C:C))/_xlfn.STDEV.S(data!C:C)</f>
        <v>0.62550529311049718</v>
      </c>
      <c r="D544" s="2">
        <v>1</v>
      </c>
      <c r="E544" s="2">
        <v>1</v>
      </c>
      <c r="F544" s="2">
        <v>0</v>
      </c>
      <c r="G544" s="2">
        <v>0</v>
      </c>
      <c r="H544" s="2">
        <v>0</v>
      </c>
      <c r="I544" s="2">
        <v>0</v>
      </c>
      <c r="J544" s="8">
        <f>(data!J544-AVERAGE(data!J:J))/_xlfn.STDEV.S(data!J:J)</f>
        <v>-0.85576308304307458</v>
      </c>
      <c r="K544" s="2">
        <v>1</v>
      </c>
      <c r="L544" s="2">
        <v>0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  <c r="R544" s="2">
        <v>0</v>
      </c>
      <c r="S544" s="6" cm="1">
        <f t="array" ref="S544">$Y$2+MMULT(C544:R544,$Y$3:$Y$18)</f>
        <v>-1.2981083764641768</v>
      </c>
      <c r="T544" s="7">
        <f t="shared" si="17"/>
        <v>0.21448354623223559</v>
      </c>
      <c r="U544" s="3">
        <f t="shared" si="16"/>
        <v>0</v>
      </c>
    </row>
    <row r="545" spans="1:21">
      <c r="A545" s="2">
        <v>544</v>
      </c>
      <c r="B545" s="2">
        <v>0</v>
      </c>
      <c r="C545" s="8">
        <f>(data!C545-AVERAGE(data!C:C))/_xlfn.STDEV.S(data!C:C)</f>
        <v>0.9615344393147216</v>
      </c>
      <c r="D545" s="2">
        <v>1</v>
      </c>
      <c r="E545" s="2">
        <v>0</v>
      </c>
      <c r="F545" s="2">
        <v>1</v>
      </c>
      <c r="G545" s="2">
        <v>0</v>
      </c>
      <c r="H545" s="2">
        <v>1</v>
      </c>
      <c r="I545" s="2">
        <v>0</v>
      </c>
      <c r="J545" s="8">
        <f>(data!J545-AVERAGE(data!J:J))/_xlfn.STDEV.S(data!J:J)</f>
        <v>-1.2984218075028078</v>
      </c>
      <c r="K545" s="2">
        <v>0</v>
      </c>
      <c r="L545" s="2">
        <v>0</v>
      </c>
      <c r="M545" s="2">
        <v>1</v>
      </c>
      <c r="N545" s="2">
        <v>0</v>
      </c>
      <c r="O545" s="2">
        <v>1</v>
      </c>
      <c r="P545" s="2">
        <v>1</v>
      </c>
      <c r="Q545" s="2">
        <v>0</v>
      </c>
      <c r="R545" s="2">
        <v>0</v>
      </c>
      <c r="S545" s="6" cm="1">
        <f t="array" ref="S545">$Y$2+MMULT(C545:R545,$Y$3:$Y$18)</f>
        <v>-2.6716178100107535</v>
      </c>
      <c r="T545" s="7">
        <f t="shared" si="17"/>
        <v>6.4669043254671835E-2</v>
      </c>
      <c r="U545" s="3">
        <f t="shared" si="16"/>
        <v>0</v>
      </c>
    </row>
    <row r="546" spans="1:21">
      <c r="A546" s="2">
        <v>545</v>
      </c>
      <c r="B546" s="2">
        <v>0</v>
      </c>
      <c r="C546" s="8">
        <f>(data!C546-AVERAGE(data!C:C))/_xlfn.STDEV.S(data!C:C)</f>
        <v>-0.7186112917064007</v>
      </c>
      <c r="D546" s="2">
        <v>1</v>
      </c>
      <c r="E546" s="2">
        <v>0</v>
      </c>
      <c r="F546" s="2">
        <v>0</v>
      </c>
      <c r="G546" s="2">
        <v>1</v>
      </c>
      <c r="H546" s="2">
        <v>0</v>
      </c>
      <c r="I546" s="2">
        <v>0</v>
      </c>
      <c r="J546" s="8">
        <f>(data!J546-AVERAGE(data!J:J))/_xlfn.STDEV.S(data!J:J)</f>
        <v>0.76731890664261382</v>
      </c>
      <c r="K546" s="2">
        <v>0</v>
      </c>
      <c r="L546" s="2">
        <v>1</v>
      </c>
      <c r="M546" s="2">
        <v>0</v>
      </c>
      <c r="N546" s="2">
        <v>0</v>
      </c>
      <c r="O546" s="2">
        <v>0</v>
      </c>
      <c r="P546" s="2">
        <v>1</v>
      </c>
      <c r="Q546" s="2">
        <v>0</v>
      </c>
      <c r="R546" s="2">
        <v>0</v>
      </c>
      <c r="S546" s="6" cm="1">
        <f t="array" ref="S546">$Y$2+MMULT(C546:R546,$Y$3:$Y$18)</f>
        <v>-12.773994554801757</v>
      </c>
      <c r="T546" s="7">
        <f t="shared" si="17"/>
        <v>2.8335013403297616E-6</v>
      </c>
      <c r="U546" s="3">
        <f t="shared" si="16"/>
        <v>0</v>
      </c>
    </row>
    <row r="547" spans="1:21">
      <c r="A547" s="2">
        <v>546</v>
      </c>
      <c r="B547" s="2">
        <v>0</v>
      </c>
      <c r="C547" s="8">
        <f>(data!C547-AVERAGE(data!C:C))/_xlfn.STDEV.S(data!C:C)</f>
        <v>-1.3066622975637936</v>
      </c>
      <c r="D547" s="2">
        <v>1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8">
        <f>(data!J547-AVERAGE(data!J:J))/_xlfn.STDEV.S(data!J:J)</f>
        <v>0.25088372810625836</v>
      </c>
      <c r="K547" s="2">
        <v>0</v>
      </c>
      <c r="L547" s="2">
        <v>1</v>
      </c>
      <c r="M547" s="2">
        <v>0</v>
      </c>
      <c r="N547" s="2">
        <v>1</v>
      </c>
      <c r="O547" s="2">
        <v>0</v>
      </c>
      <c r="P547" s="2">
        <v>1</v>
      </c>
      <c r="Q547" s="2">
        <v>0</v>
      </c>
      <c r="R547" s="2">
        <v>0</v>
      </c>
      <c r="S547" s="6" cm="1">
        <f t="array" ref="S547">$Y$2+MMULT(C547:R547,$Y$3:$Y$18)</f>
        <v>-16.309468907052896</v>
      </c>
      <c r="T547" s="7">
        <f t="shared" si="17"/>
        <v>8.2582421847045199E-8</v>
      </c>
      <c r="U547" s="3">
        <f t="shared" si="16"/>
        <v>0</v>
      </c>
    </row>
    <row r="548" spans="1:21">
      <c r="A548" s="2">
        <v>547</v>
      </c>
      <c r="B548" s="2">
        <v>1</v>
      </c>
      <c r="C548" s="8">
        <f>(data!C548-AVERAGE(data!C:C))/_xlfn.STDEV.S(data!C:C)</f>
        <v>0.5835016498349691</v>
      </c>
      <c r="D548" s="2">
        <v>1</v>
      </c>
      <c r="E548" s="2">
        <v>1</v>
      </c>
      <c r="F548" s="2">
        <v>0</v>
      </c>
      <c r="G548" s="2">
        <v>0</v>
      </c>
      <c r="H548" s="2">
        <v>1</v>
      </c>
      <c r="I548" s="2">
        <v>0</v>
      </c>
      <c r="J548" s="8">
        <f>(data!J548-AVERAGE(data!J:J))/_xlfn.STDEV.S(data!J:J)</f>
        <v>-4.4222088200230422E-2</v>
      </c>
      <c r="K548" s="2">
        <v>0</v>
      </c>
      <c r="L548" s="2">
        <v>0</v>
      </c>
      <c r="M548" s="2">
        <v>1</v>
      </c>
      <c r="N548" s="2">
        <v>0</v>
      </c>
      <c r="O548" s="2">
        <v>1</v>
      </c>
      <c r="P548" s="2">
        <v>1</v>
      </c>
      <c r="Q548" s="2">
        <v>0</v>
      </c>
      <c r="R548" s="2">
        <v>0</v>
      </c>
      <c r="S548" s="6" cm="1">
        <f t="array" ref="S548">$Y$2+MMULT(C548:R548,$Y$3:$Y$18)</f>
        <v>-3.7025739670522513</v>
      </c>
      <c r="T548" s="7">
        <f t="shared" si="17"/>
        <v>2.406649177462301E-2</v>
      </c>
      <c r="U548" s="3">
        <f t="shared" si="16"/>
        <v>0</v>
      </c>
    </row>
    <row r="549" spans="1:21">
      <c r="A549" s="2">
        <v>548</v>
      </c>
      <c r="B549" s="2">
        <v>0</v>
      </c>
      <c r="C549" s="8">
        <f>(data!C549-AVERAGE(data!C:C))/_xlfn.STDEV.S(data!C:C)</f>
        <v>0.37348343345732876</v>
      </c>
      <c r="D549" s="2">
        <v>0</v>
      </c>
      <c r="E549" s="2">
        <v>0</v>
      </c>
      <c r="F549" s="2">
        <v>1</v>
      </c>
      <c r="G549" s="2">
        <v>1</v>
      </c>
      <c r="H549" s="2">
        <v>0</v>
      </c>
      <c r="I549" s="2">
        <v>0</v>
      </c>
      <c r="J549" s="8">
        <f>(data!J549-AVERAGE(data!J:J))/_xlfn.STDEV.S(data!J:J)</f>
        <v>-1.003315991196319</v>
      </c>
      <c r="K549" s="2">
        <v>0</v>
      </c>
      <c r="L549" s="2">
        <v>0</v>
      </c>
      <c r="M549" s="2">
        <v>1</v>
      </c>
      <c r="N549" s="2">
        <v>0</v>
      </c>
      <c r="O549" s="2">
        <v>1</v>
      </c>
      <c r="P549" s="2">
        <v>1</v>
      </c>
      <c r="Q549" s="2">
        <v>0</v>
      </c>
      <c r="R549" s="2">
        <v>0</v>
      </c>
      <c r="S549" s="6" cm="1">
        <f t="array" ref="S549">$Y$2+MMULT(C549:R549,$Y$3:$Y$18)</f>
        <v>-4.0612478630482531</v>
      </c>
      <c r="T549" s="7">
        <f t="shared" si="17"/>
        <v>1.6935747399996887E-2</v>
      </c>
      <c r="U549" s="3">
        <f t="shared" si="16"/>
        <v>0</v>
      </c>
    </row>
    <row r="550" spans="1:21">
      <c r="A550" s="2">
        <v>549</v>
      </c>
      <c r="B550" s="2">
        <v>0</v>
      </c>
      <c r="C550" s="8">
        <f>(data!C550-AVERAGE(data!C:C))/_xlfn.STDEV.S(data!C:C)</f>
        <v>-1.1386477244616813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1</v>
      </c>
      <c r="J550" s="8">
        <f>(data!J550-AVERAGE(data!J:J))/_xlfn.STDEV.S(data!J:J)</f>
        <v>0.39843663625950276</v>
      </c>
      <c r="K550" s="2">
        <v>0</v>
      </c>
      <c r="L550" s="2">
        <v>0</v>
      </c>
      <c r="M550" s="2">
        <v>0</v>
      </c>
      <c r="N550" s="2">
        <v>0</v>
      </c>
      <c r="O550" s="2">
        <v>1</v>
      </c>
      <c r="P550" s="2">
        <v>1</v>
      </c>
      <c r="Q550" s="2">
        <v>0</v>
      </c>
      <c r="R550" s="2">
        <v>0</v>
      </c>
      <c r="S550" s="6" cm="1">
        <f t="array" ref="S550">$Y$2+MMULT(C550:R550,$Y$3:$Y$18)</f>
        <v>-11.553823485015711</v>
      </c>
      <c r="T550" s="7">
        <f t="shared" si="17"/>
        <v>9.5991780375970271E-6</v>
      </c>
      <c r="U550" s="3">
        <f t="shared" si="16"/>
        <v>0</v>
      </c>
    </row>
    <row r="551" spans="1:21">
      <c r="A551" s="2">
        <v>550</v>
      </c>
      <c r="B551" s="2">
        <v>0</v>
      </c>
      <c r="C551" s="8">
        <f>(data!C551-AVERAGE(data!C:C))/_xlfn.STDEV.S(data!C:C)</f>
        <v>0.70951257966155323</v>
      </c>
      <c r="D551" s="2">
        <v>1</v>
      </c>
      <c r="E551" s="2">
        <v>0</v>
      </c>
      <c r="F551" s="2">
        <v>0</v>
      </c>
      <c r="G551" s="2">
        <v>1</v>
      </c>
      <c r="H551" s="2">
        <v>0</v>
      </c>
      <c r="I551" s="2">
        <v>0</v>
      </c>
      <c r="J551" s="8">
        <f>(data!J551-AVERAGE(data!J:J))/_xlfn.STDEV.S(data!J:J)</f>
        <v>2.9554365876391778E-2</v>
      </c>
      <c r="K551" s="2">
        <v>0</v>
      </c>
      <c r="L551" s="2">
        <v>0</v>
      </c>
      <c r="M551" s="2">
        <v>1</v>
      </c>
      <c r="N551" s="2">
        <v>1</v>
      </c>
      <c r="O551" s="2">
        <v>0</v>
      </c>
      <c r="P551" s="2">
        <v>1</v>
      </c>
      <c r="Q551" s="2">
        <v>0</v>
      </c>
      <c r="R551" s="2">
        <v>0</v>
      </c>
      <c r="S551" s="6" cm="1">
        <f t="array" ref="S551">$Y$2+MMULT(C551:R551,$Y$3:$Y$18)</f>
        <v>-2.8288875573339234</v>
      </c>
      <c r="T551" s="7">
        <f t="shared" si="17"/>
        <v>5.5782962698506015E-2</v>
      </c>
      <c r="U551" s="3">
        <f t="shared" si="16"/>
        <v>0</v>
      </c>
    </row>
    <row r="552" spans="1:21">
      <c r="A552" s="2">
        <v>551</v>
      </c>
      <c r="B552" s="2">
        <v>0</v>
      </c>
      <c r="C552" s="8">
        <f>(data!C552-AVERAGE(data!C:C))/_xlfn.STDEV.S(data!C:C)</f>
        <v>0.87752715276366544</v>
      </c>
      <c r="D552" s="2">
        <v>1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8">
        <f>(data!J552-AVERAGE(data!J:J))/_xlfn.STDEV.S(data!J:J)</f>
        <v>0.17710727402963619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>
        <v>1</v>
      </c>
      <c r="Q552" s="2">
        <v>0</v>
      </c>
      <c r="R552" s="2">
        <v>0</v>
      </c>
      <c r="S552" s="6" cm="1">
        <f t="array" ref="S552">$Y$2+MMULT(C552:R552,$Y$3:$Y$18)</f>
        <v>-0.33458722176112277</v>
      </c>
      <c r="T552" s="7">
        <f t="shared" si="17"/>
        <v>0.41712490184670686</v>
      </c>
      <c r="U552" s="3">
        <f t="shared" si="16"/>
        <v>0</v>
      </c>
    </row>
    <row r="553" spans="1:21">
      <c r="A553" s="2">
        <v>552</v>
      </c>
      <c r="B553" s="2">
        <v>0</v>
      </c>
      <c r="C553" s="8">
        <f>(data!C553-AVERAGE(data!C:C))/_xlfn.STDEV.S(data!C:C)</f>
        <v>-0.42458578877770431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1</v>
      </c>
      <c r="J553" s="8">
        <f>(data!J553-AVERAGE(data!J:J))/_xlfn.STDEV.S(data!J:J)</f>
        <v>-0.11799854227685262</v>
      </c>
      <c r="K553" s="2">
        <v>0</v>
      </c>
      <c r="L553" s="2">
        <v>0</v>
      </c>
      <c r="M553" s="2">
        <v>1</v>
      </c>
      <c r="N553" s="2">
        <v>1</v>
      </c>
      <c r="O553" s="2">
        <v>0</v>
      </c>
      <c r="P553" s="2">
        <v>1</v>
      </c>
      <c r="Q553" s="2">
        <v>1</v>
      </c>
      <c r="R553" s="2">
        <v>0</v>
      </c>
      <c r="S553" s="6" cm="1">
        <f t="array" ref="S553">$Y$2+MMULT(C553:R553,$Y$3:$Y$18)</f>
        <v>-7.2840857688680671</v>
      </c>
      <c r="T553" s="7">
        <f t="shared" si="17"/>
        <v>6.8590466727965079E-4</v>
      </c>
      <c r="U553" s="3">
        <f t="shared" si="16"/>
        <v>0</v>
      </c>
    </row>
    <row r="554" spans="1:21">
      <c r="A554" s="2">
        <v>553</v>
      </c>
      <c r="B554" s="2">
        <v>0</v>
      </c>
      <c r="C554" s="8">
        <f>(data!C554-AVERAGE(data!C:C))/_xlfn.STDEV.S(data!C:C)</f>
        <v>-0.21456757240006402</v>
      </c>
      <c r="D554" s="2">
        <v>1</v>
      </c>
      <c r="E554" s="2">
        <v>1</v>
      </c>
      <c r="F554" s="2">
        <v>0</v>
      </c>
      <c r="G554" s="2">
        <v>0</v>
      </c>
      <c r="H554" s="2">
        <v>0</v>
      </c>
      <c r="I554" s="2">
        <v>0</v>
      </c>
      <c r="J554" s="8">
        <f>(data!J554-AVERAGE(data!J:J))/_xlfn.STDEV.S(data!J:J)</f>
        <v>1.0624247229491026</v>
      </c>
      <c r="K554" s="2">
        <v>1</v>
      </c>
      <c r="L554" s="2">
        <v>1</v>
      </c>
      <c r="M554" s="2">
        <v>0</v>
      </c>
      <c r="N554" s="2">
        <v>1</v>
      </c>
      <c r="O554" s="2">
        <v>1</v>
      </c>
      <c r="P554" s="2">
        <v>1</v>
      </c>
      <c r="Q554" s="2">
        <v>0</v>
      </c>
      <c r="R554" s="2">
        <v>0</v>
      </c>
      <c r="S554" s="6" cm="1">
        <f t="array" ref="S554">$Y$2+MMULT(C554:R554,$Y$3:$Y$18)</f>
        <v>-7.5002787096747081</v>
      </c>
      <c r="T554" s="7">
        <f t="shared" si="17"/>
        <v>5.5262467876531288E-4</v>
      </c>
      <c r="U554" s="3">
        <f t="shared" si="16"/>
        <v>0</v>
      </c>
    </row>
    <row r="555" spans="1:21">
      <c r="A555" s="2">
        <v>554</v>
      </c>
      <c r="B555" s="2">
        <v>0</v>
      </c>
      <c r="C555" s="8">
        <f>(data!C555-AVERAGE(data!C:C))/_xlfn.STDEV.S(data!C:C)</f>
        <v>1.0455417258657778</v>
      </c>
      <c r="D555" s="2">
        <v>1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8">
        <f>(data!J555-AVERAGE(data!J:J))/_xlfn.STDEV.S(data!J:J)</f>
        <v>0.39843663625950276</v>
      </c>
      <c r="K555" s="2">
        <v>0</v>
      </c>
      <c r="L555" s="2">
        <v>1</v>
      </c>
      <c r="M555" s="2">
        <v>0</v>
      </c>
      <c r="N555" s="2">
        <v>1</v>
      </c>
      <c r="O555" s="2">
        <v>1</v>
      </c>
      <c r="P555" s="2">
        <v>1</v>
      </c>
      <c r="Q555" s="2">
        <v>0</v>
      </c>
      <c r="R555" s="2">
        <v>0</v>
      </c>
      <c r="S555" s="6" cm="1">
        <f t="array" ref="S555">$Y$2+MMULT(C555:R555,$Y$3:$Y$18)</f>
        <v>-0.50043853189778931</v>
      </c>
      <c r="T555" s="7">
        <f t="shared" si="17"/>
        <v>0.37743761770998041</v>
      </c>
      <c r="U555" s="3">
        <f t="shared" si="16"/>
        <v>0</v>
      </c>
    </row>
    <row r="556" spans="1:21">
      <c r="A556" s="2">
        <v>555</v>
      </c>
      <c r="B556" s="2">
        <v>0</v>
      </c>
      <c r="C556" s="8">
        <f>(data!C556-AVERAGE(data!C:C))/_xlfn.STDEV.S(data!C:C)</f>
        <v>-4.5493560224237357E-3</v>
      </c>
      <c r="D556" s="2">
        <v>1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8">
        <f>(data!J556-AVERAGE(data!J:J))/_xlfn.STDEV.S(data!J:J)</f>
        <v>0.54598954441274716</v>
      </c>
      <c r="K556" s="2">
        <v>0</v>
      </c>
      <c r="L556" s="2">
        <v>0</v>
      </c>
      <c r="M556" s="2">
        <v>0</v>
      </c>
      <c r="N556" s="2">
        <v>0</v>
      </c>
      <c r="O556" s="2">
        <v>1</v>
      </c>
      <c r="P556" s="2">
        <v>1</v>
      </c>
      <c r="Q556" s="2">
        <v>0</v>
      </c>
      <c r="R556" s="2">
        <v>1</v>
      </c>
      <c r="S556" s="6" cm="1">
        <f t="array" ref="S556">$Y$2+MMULT(C556:R556,$Y$3:$Y$18)</f>
        <v>-5.1536359737942004</v>
      </c>
      <c r="T556" s="7">
        <f t="shared" si="17"/>
        <v>5.7451589549912668E-3</v>
      </c>
      <c r="U556" s="3">
        <f t="shared" si="16"/>
        <v>0</v>
      </c>
    </row>
    <row r="557" spans="1:21">
      <c r="A557" s="2">
        <v>556</v>
      </c>
      <c r="B557" s="2">
        <v>1</v>
      </c>
      <c r="C557" s="8">
        <f>(data!C557-AVERAGE(data!C:C))/_xlfn.STDEV.S(data!C:C)</f>
        <v>1.6755963749986986</v>
      </c>
      <c r="D557" s="2">
        <v>0</v>
      </c>
      <c r="E557" s="2">
        <v>1</v>
      </c>
      <c r="F557" s="2">
        <v>1</v>
      </c>
      <c r="G557" s="2">
        <v>0</v>
      </c>
      <c r="H557" s="2">
        <v>1</v>
      </c>
      <c r="I557" s="2">
        <v>0</v>
      </c>
      <c r="J557" s="8">
        <f>(data!J557-AVERAGE(data!J:J))/_xlfn.STDEV.S(data!J:J)</f>
        <v>1.5050834474088357</v>
      </c>
      <c r="K557" s="2">
        <v>0</v>
      </c>
      <c r="L557" s="2">
        <v>0</v>
      </c>
      <c r="M557" s="2">
        <v>1</v>
      </c>
      <c r="N557" s="2">
        <v>1</v>
      </c>
      <c r="O557" s="2">
        <v>1</v>
      </c>
      <c r="P557" s="2">
        <v>1</v>
      </c>
      <c r="Q557" s="2">
        <v>0</v>
      </c>
      <c r="R557" s="2">
        <v>0</v>
      </c>
      <c r="S557" s="6" cm="1">
        <f t="array" ref="S557">$Y$2+MMULT(C557:R557,$Y$3:$Y$18)</f>
        <v>2.4820030456387663</v>
      </c>
      <c r="T557" s="7">
        <f t="shared" si="17"/>
        <v>0.92287049656204756</v>
      </c>
      <c r="U557" s="3">
        <f t="shared" si="16"/>
        <v>1</v>
      </c>
    </row>
    <row r="558" spans="1:21">
      <c r="A558" s="2">
        <v>557</v>
      </c>
      <c r="B558" s="2">
        <v>0</v>
      </c>
      <c r="C558" s="8">
        <f>(data!C558-AVERAGE(data!C:C))/_xlfn.STDEV.S(data!C:C)</f>
        <v>0.5835016498349691</v>
      </c>
      <c r="D558" s="2">
        <v>1</v>
      </c>
      <c r="E558" s="2">
        <v>1</v>
      </c>
      <c r="F558" s="2">
        <v>0</v>
      </c>
      <c r="G558" s="2">
        <v>1</v>
      </c>
      <c r="H558" s="2">
        <v>0</v>
      </c>
      <c r="I558" s="2">
        <v>0</v>
      </c>
      <c r="J558" s="8">
        <f>(data!J558-AVERAGE(data!J:J))/_xlfn.STDEV.S(data!J:J)</f>
        <v>0.17710727402963619</v>
      </c>
      <c r="K558" s="2">
        <v>1</v>
      </c>
      <c r="L558" s="2">
        <v>1</v>
      </c>
      <c r="M558" s="2">
        <v>1</v>
      </c>
      <c r="N558" s="2">
        <v>1</v>
      </c>
      <c r="O558" s="2">
        <v>0</v>
      </c>
      <c r="P558" s="2">
        <v>1</v>
      </c>
      <c r="Q558" s="2">
        <v>0</v>
      </c>
      <c r="R558" s="2">
        <v>0</v>
      </c>
      <c r="S558" s="6" cm="1">
        <f t="array" ref="S558">$Y$2+MMULT(C558:R558,$Y$3:$Y$18)</f>
        <v>-4.2122366344566586</v>
      </c>
      <c r="T558" s="7">
        <f t="shared" si="17"/>
        <v>1.4596971691725164E-2</v>
      </c>
      <c r="U558" s="3">
        <f t="shared" si="16"/>
        <v>0</v>
      </c>
    </row>
    <row r="559" spans="1:21">
      <c r="A559" s="2">
        <v>558</v>
      </c>
      <c r="B559" s="2">
        <v>0</v>
      </c>
      <c r="C559" s="8">
        <f>(data!C559-AVERAGE(data!C:C))/_xlfn.STDEV.S(data!C:C)</f>
        <v>-1.1386477244616813</v>
      </c>
      <c r="D559" s="2">
        <v>1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8">
        <f>(data!J559-AVERAGE(data!J:J))/_xlfn.STDEV.S(data!J:J)</f>
        <v>-1.1508688993495635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1</v>
      </c>
      <c r="Q559" s="2">
        <v>0</v>
      </c>
      <c r="R559" s="2">
        <v>0</v>
      </c>
      <c r="S559" s="6" cm="1">
        <f t="array" ref="S559">$Y$2+MMULT(C559:R559,$Y$3:$Y$18)</f>
        <v>-14.841091456918083</v>
      </c>
      <c r="T559" s="7">
        <f t="shared" si="17"/>
        <v>3.5858797285425103E-7</v>
      </c>
      <c r="U559" s="3">
        <f t="shared" si="16"/>
        <v>0</v>
      </c>
    </row>
    <row r="560" spans="1:21">
      <c r="A560" s="2">
        <v>559</v>
      </c>
      <c r="B560" s="2">
        <v>0</v>
      </c>
      <c r="C560" s="8">
        <f>(data!C560-AVERAGE(data!C:C))/_xlfn.STDEV.S(data!C:C)</f>
        <v>-0.84462222153298494</v>
      </c>
      <c r="D560" s="2">
        <v>1</v>
      </c>
      <c r="E560" s="2">
        <v>0</v>
      </c>
      <c r="F560" s="2">
        <v>1</v>
      </c>
      <c r="G560" s="2">
        <v>0</v>
      </c>
      <c r="H560" s="2">
        <v>0</v>
      </c>
      <c r="I560" s="2">
        <v>0</v>
      </c>
      <c r="J560" s="8">
        <f>(data!J560-AVERAGE(data!J:J))/_xlfn.STDEV.S(data!J:J)</f>
        <v>1.1362011770257248</v>
      </c>
      <c r="K560" s="2">
        <v>0</v>
      </c>
      <c r="L560" s="2">
        <v>0</v>
      </c>
      <c r="M560" s="2">
        <v>0</v>
      </c>
      <c r="N560" s="2">
        <v>1</v>
      </c>
      <c r="O560" s="2">
        <v>1</v>
      </c>
      <c r="P560" s="2">
        <v>1</v>
      </c>
      <c r="Q560" s="2">
        <v>0</v>
      </c>
      <c r="R560" s="2">
        <v>0</v>
      </c>
      <c r="S560" s="6" cm="1">
        <f t="array" ref="S560">$Y$2+MMULT(C560:R560,$Y$3:$Y$18)</f>
        <v>-11.093938140562797</v>
      </c>
      <c r="T560" s="7">
        <f t="shared" si="17"/>
        <v>1.5203979659786675E-5</v>
      </c>
      <c r="U560" s="3">
        <f t="shared" si="16"/>
        <v>0</v>
      </c>
    </row>
    <row r="561" spans="1:21">
      <c r="A561" s="2">
        <v>560</v>
      </c>
      <c r="B561" s="2">
        <v>0</v>
      </c>
      <c r="C561" s="8">
        <f>(data!C561-AVERAGE(data!C:C))/_xlfn.STDEV.S(data!C:C)</f>
        <v>-0.67660764843087262</v>
      </c>
      <c r="D561" s="2">
        <v>1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8">
        <f>(data!J561-AVERAGE(data!J:J))/_xlfn.STDEV.S(data!J:J)</f>
        <v>1.2099776311023469</v>
      </c>
      <c r="K561" s="2">
        <v>0</v>
      </c>
      <c r="L561" s="2">
        <v>1</v>
      </c>
      <c r="M561" s="2">
        <v>0</v>
      </c>
      <c r="N561" s="2">
        <v>1</v>
      </c>
      <c r="O561" s="2">
        <v>0</v>
      </c>
      <c r="P561" s="2">
        <v>1</v>
      </c>
      <c r="Q561" s="2">
        <v>0</v>
      </c>
      <c r="R561" s="2">
        <v>0</v>
      </c>
      <c r="S561" s="6" cm="1">
        <f t="array" ref="S561">$Y$2+MMULT(C561:R561,$Y$3:$Y$18)</f>
        <v>-11.985393467869633</v>
      </c>
      <c r="T561" s="7">
        <f t="shared" si="17"/>
        <v>6.2345777574366354E-6</v>
      </c>
      <c r="U561" s="3">
        <f t="shared" si="16"/>
        <v>0</v>
      </c>
    </row>
    <row r="562" spans="1:21">
      <c r="A562" s="2">
        <v>561</v>
      </c>
      <c r="B562" s="2">
        <v>0</v>
      </c>
      <c r="C562" s="8">
        <f>(data!C562-AVERAGE(data!C:C))/_xlfn.STDEV.S(data!C:C)</f>
        <v>-1.1806513677372095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8">
        <f>(data!J562-AVERAGE(data!J:J))/_xlfn.STDEV.S(data!J:J)</f>
        <v>-0.78198662896645244</v>
      </c>
      <c r="K562" s="2">
        <v>0</v>
      </c>
      <c r="L562" s="2">
        <v>1</v>
      </c>
      <c r="M562" s="2">
        <v>0</v>
      </c>
      <c r="N562" s="2">
        <v>1</v>
      </c>
      <c r="O562" s="2">
        <v>1</v>
      </c>
      <c r="P562" s="2">
        <v>0</v>
      </c>
      <c r="Q562" s="2">
        <v>0</v>
      </c>
      <c r="R562" s="2">
        <v>0</v>
      </c>
      <c r="S562" s="6" cm="1">
        <f t="array" ref="S562">$Y$2+MMULT(C562:R562,$Y$3:$Y$18)</f>
        <v>-11.229186734281832</v>
      </c>
      <c r="T562" s="7">
        <f t="shared" si="17"/>
        <v>1.3280682594447703E-5</v>
      </c>
      <c r="U562" s="3">
        <f t="shared" si="16"/>
        <v>0</v>
      </c>
    </row>
    <row r="563" spans="1:21">
      <c r="A563" s="2">
        <v>562</v>
      </c>
      <c r="B563" s="2">
        <v>1</v>
      </c>
      <c r="C563" s="8">
        <f>(data!C563-AVERAGE(data!C:C))/_xlfn.STDEV.S(data!C:C)</f>
        <v>1.0875453691413057</v>
      </c>
      <c r="D563" s="2">
        <v>1</v>
      </c>
      <c r="E563" s="2">
        <v>1</v>
      </c>
      <c r="F563" s="2">
        <v>0</v>
      </c>
      <c r="G563" s="2">
        <v>0</v>
      </c>
      <c r="H563" s="2">
        <v>0</v>
      </c>
      <c r="I563" s="2">
        <v>0</v>
      </c>
      <c r="J563" s="8">
        <f>(data!J563-AVERAGE(data!J:J))/_xlfn.STDEV.S(data!J:J)</f>
        <v>-0.19177499635347484</v>
      </c>
      <c r="K563" s="2">
        <v>0</v>
      </c>
      <c r="L563" s="2">
        <v>1</v>
      </c>
      <c r="M563" s="2">
        <v>1</v>
      </c>
      <c r="N563" s="2">
        <v>1</v>
      </c>
      <c r="O563" s="2">
        <v>1</v>
      </c>
      <c r="P563" s="2">
        <v>1</v>
      </c>
      <c r="Q563" s="2">
        <v>0</v>
      </c>
      <c r="R563" s="2">
        <v>0</v>
      </c>
      <c r="S563" s="6" cm="1">
        <f t="array" ref="S563">$Y$2+MMULT(C563:R563,$Y$3:$Y$18)</f>
        <v>0.77255668742685835</v>
      </c>
      <c r="T563" s="7">
        <f t="shared" si="17"/>
        <v>0.68407369688958541</v>
      </c>
      <c r="U563" s="3">
        <f t="shared" si="16"/>
        <v>1</v>
      </c>
    </row>
    <row r="564" spans="1:21">
      <c r="A564" s="2">
        <v>563</v>
      </c>
      <c r="B564" s="2">
        <v>1</v>
      </c>
      <c r="C564" s="8">
        <f>(data!C564-AVERAGE(data!C:C))/_xlfn.STDEV.S(data!C:C)</f>
        <v>1.6755963749986986</v>
      </c>
      <c r="D564" s="2">
        <v>1</v>
      </c>
      <c r="E564" s="2">
        <v>1</v>
      </c>
      <c r="F564" s="2">
        <v>0</v>
      </c>
      <c r="G564" s="2">
        <v>0</v>
      </c>
      <c r="H564" s="2">
        <v>0</v>
      </c>
      <c r="I564" s="2">
        <v>0</v>
      </c>
      <c r="J564" s="8">
        <f>(data!J564-AVERAGE(data!J:J))/_xlfn.STDEV.S(data!J:J)</f>
        <v>0.39843663625950276</v>
      </c>
      <c r="K564" s="2">
        <v>1</v>
      </c>
      <c r="L564" s="2">
        <v>0</v>
      </c>
      <c r="M564" s="2">
        <v>1</v>
      </c>
      <c r="N564" s="2">
        <v>1</v>
      </c>
      <c r="O564" s="2">
        <v>1</v>
      </c>
      <c r="P564" s="2">
        <v>1</v>
      </c>
      <c r="Q564" s="2">
        <v>0</v>
      </c>
      <c r="R564" s="2">
        <v>0</v>
      </c>
      <c r="S564" s="6" cm="1">
        <f t="array" ref="S564">$Y$2+MMULT(C564:R564,$Y$3:$Y$18)</f>
        <v>5.7044534409837873</v>
      </c>
      <c r="T564" s="7">
        <f t="shared" si="17"/>
        <v>0.99667996184183849</v>
      </c>
      <c r="U564" s="3">
        <f t="shared" si="16"/>
        <v>1</v>
      </c>
    </row>
    <row r="565" spans="1:21">
      <c r="A565" s="2">
        <v>564</v>
      </c>
      <c r="B565" s="2">
        <v>1</v>
      </c>
      <c r="C565" s="8">
        <f>(data!C565-AVERAGE(data!C:C))/_xlfn.STDEV.S(data!C:C)</f>
        <v>1.6755963749986986</v>
      </c>
      <c r="D565" s="2">
        <v>1</v>
      </c>
      <c r="E565" s="2">
        <v>1</v>
      </c>
      <c r="F565" s="2">
        <v>0</v>
      </c>
      <c r="G565" s="2">
        <v>0</v>
      </c>
      <c r="H565" s="2">
        <v>0</v>
      </c>
      <c r="I565" s="2">
        <v>0</v>
      </c>
      <c r="J565" s="8">
        <f>(data!J565-AVERAGE(data!J:J))/_xlfn.STDEV.S(data!J:J)</f>
        <v>1.2099776311023469</v>
      </c>
      <c r="K565" s="2">
        <v>0</v>
      </c>
      <c r="L565" s="2">
        <v>1</v>
      </c>
      <c r="M565" s="2">
        <v>1</v>
      </c>
      <c r="N565" s="2">
        <v>1</v>
      </c>
      <c r="O565" s="2">
        <v>1</v>
      </c>
      <c r="P565" s="2">
        <v>1</v>
      </c>
      <c r="Q565" s="2">
        <v>1</v>
      </c>
      <c r="R565" s="2">
        <v>0</v>
      </c>
      <c r="S565" s="6" cm="1">
        <f t="array" ref="S565">$Y$2+MMULT(C565:R565,$Y$3:$Y$18)</f>
        <v>6.0967588712711773</v>
      </c>
      <c r="T565" s="7">
        <f t="shared" si="17"/>
        <v>0.99775490286713231</v>
      </c>
      <c r="U565" s="3">
        <f t="shared" si="16"/>
        <v>1</v>
      </c>
    </row>
    <row r="566" spans="1:21">
      <c r="A566" s="2">
        <v>565</v>
      </c>
      <c r="B566" s="2">
        <v>1</v>
      </c>
      <c r="C566" s="8">
        <f>(data!C566-AVERAGE(data!C:C))/_xlfn.STDEV.S(data!C:C)</f>
        <v>1.0035380825902496</v>
      </c>
      <c r="D566" s="2">
        <v>1</v>
      </c>
      <c r="E566" s="2">
        <v>0</v>
      </c>
      <c r="F566" s="2">
        <v>0</v>
      </c>
      <c r="G566" s="2">
        <v>1</v>
      </c>
      <c r="H566" s="2">
        <v>0</v>
      </c>
      <c r="I566" s="2">
        <v>0</v>
      </c>
      <c r="J566" s="8">
        <f>(data!J566-AVERAGE(data!J:J))/_xlfn.STDEV.S(data!J:J)</f>
        <v>0.54598954441274716</v>
      </c>
      <c r="K566" s="2">
        <v>0</v>
      </c>
      <c r="L566" s="2">
        <v>0</v>
      </c>
      <c r="M566" s="2">
        <v>1</v>
      </c>
      <c r="N566" s="2">
        <v>1</v>
      </c>
      <c r="O566" s="2">
        <v>1</v>
      </c>
      <c r="P566" s="2">
        <v>1</v>
      </c>
      <c r="Q566" s="2">
        <v>0</v>
      </c>
      <c r="R566" s="2">
        <v>0</v>
      </c>
      <c r="S566" s="6" cm="1">
        <f t="array" ref="S566">$Y$2+MMULT(C566:R566,$Y$3:$Y$18)</f>
        <v>0.9321464851728436</v>
      </c>
      <c r="T566" s="7">
        <f t="shared" si="17"/>
        <v>0.7175105578178872</v>
      </c>
      <c r="U566" s="3">
        <f t="shared" si="16"/>
        <v>1</v>
      </c>
    </row>
    <row r="567" spans="1:21">
      <c r="A567" s="2">
        <v>566</v>
      </c>
      <c r="B567" s="2">
        <v>0</v>
      </c>
      <c r="C567" s="8">
        <f>(data!C567-AVERAGE(data!C:C))/_xlfn.STDEV.S(data!C:C)</f>
        <v>-0.97063315135956907</v>
      </c>
      <c r="D567" s="2">
        <v>1</v>
      </c>
      <c r="E567" s="2">
        <v>1</v>
      </c>
      <c r="F567" s="2">
        <v>1</v>
      </c>
      <c r="G567" s="2">
        <v>1</v>
      </c>
      <c r="H567" s="2">
        <v>0</v>
      </c>
      <c r="I567" s="2">
        <v>0</v>
      </c>
      <c r="J567" s="8">
        <f>(data!J567-AVERAGE(data!J:J))/_xlfn.STDEV.S(data!J:J)</f>
        <v>-0.78198662896645244</v>
      </c>
      <c r="K567" s="2">
        <v>1</v>
      </c>
      <c r="L567" s="2">
        <v>1</v>
      </c>
      <c r="M567" s="2">
        <v>1</v>
      </c>
      <c r="N567" s="2">
        <v>1</v>
      </c>
      <c r="O567" s="2">
        <v>0</v>
      </c>
      <c r="P567" s="2">
        <v>1</v>
      </c>
      <c r="Q567" s="2">
        <v>0</v>
      </c>
      <c r="R567" s="2">
        <v>0</v>
      </c>
      <c r="S567" s="6" cm="1">
        <f t="array" ref="S567">$Y$2+MMULT(C567:R567,$Y$3:$Y$18)</f>
        <v>-14.645984307313865</v>
      </c>
      <c r="T567" s="7">
        <f t="shared" si="17"/>
        <v>4.3584256722231053E-7</v>
      </c>
      <c r="U567" s="3">
        <f t="shared" si="16"/>
        <v>0</v>
      </c>
    </row>
    <row r="568" spans="1:21">
      <c r="A568" s="2">
        <v>567</v>
      </c>
      <c r="B568" s="2">
        <v>0</v>
      </c>
      <c r="C568" s="8">
        <f>(data!C568-AVERAGE(data!C:C))/_xlfn.STDEV.S(data!C:C)</f>
        <v>-1.4746768706659057</v>
      </c>
      <c r="D568" s="2">
        <v>1</v>
      </c>
      <c r="E568" s="2">
        <v>0</v>
      </c>
      <c r="F568" s="2">
        <v>0</v>
      </c>
      <c r="G568" s="2">
        <v>0</v>
      </c>
      <c r="H568" s="2">
        <v>1</v>
      </c>
      <c r="I568" s="2">
        <v>0</v>
      </c>
      <c r="J568" s="8">
        <f>(data!J568-AVERAGE(data!J:J))/_xlfn.STDEV.S(data!J:J)</f>
        <v>0.10333081995301398</v>
      </c>
      <c r="K568" s="2">
        <v>0</v>
      </c>
      <c r="L568" s="2">
        <v>0</v>
      </c>
      <c r="M568" s="2">
        <v>0</v>
      </c>
      <c r="N568" s="2">
        <v>0</v>
      </c>
      <c r="O568" s="2">
        <v>1</v>
      </c>
      <c r="P568" s="2">
        <v>1</v>
      </c>
      <c r="Q568" s="2">
        <v>0</v>
      </c>
      <c r="R568" s="2">
        <v>0</v>
      </c>
      <c r="S568" s="6" cm="1">
        <f t="array" ref="S568">$Y$2+MMULT(C568:R568,$Y$3:$Y$18)</f>
        <v>-17.254623015250601</v>
      </c>
      <c r="T568" s="7">
        <f t="shared" si="17"/>
        <v>3.2093155708646645E-8</v>
      </c>
      <c r="U568" s="3">
        <f t="shared" si="16"/>
        <v>0</v>
      </c>
    </row>
    <row r="569" spans="1:21">
      <c r="A569" s="2">
        <v>568</v>
      </c>
      <c r="B569" s="2">
        <v>0</v>
      </c>
      <c r="C569" s="8">
        <f>(data!C569-AVERAGE(data!C:C))/_xlfn.STDEV.S(data!C:C)</f>
        <v>-0.38258214550217629</v>
      </c>
      <c r="D569" s="2">
        <v>1</v>
      </c>
      <c r="E569" s="2">
        <v>0</v>
      </c>
      <c r="F569" s="2">
        <v>0</v>
      </c>
      <c r="G569" s="2">
        <v>1</v>
      </c>
      <c r="H569" s="2">
        <v>0</v>
      </c>
      <c r="I569" s="2">
        <v>0</v>
      </c>
      <c r="J569" s="8">
        <f>(data!J569-AVERAGE(data!J:J))/_xlfn.STDEV.S(data!J:J)</f>
        <v>2.5379538044815466</v>
      </c>
      <c r="K569" s="2">
        <v>0</v>
      </c>
      <c r="L569" s="2">
        <v>0</v>
      </c>
      <c r="M569" s="2">
        <v>1</v>
      </c>
      <c r="N569" s="2">
        <v>1</v>
      </c>
      <c r="O569" s="2">
        <v>1</v>
      </c>
      <c r="P569" s="2">
        <v>1</v>
      </c>
      <c r="Q569" s="2">
        <v>0</v>
      </c>
      <c r="R569" s="2">
        <v>0</v>
      </c>
      <c r="S569" s="6" cm="1">
        <f t="array" ref="S569">$Y$2+MMULT(C569:R569,$Y$3:$Y$18)</f>
        <v>-6.147557985128417</v>
      </c>
      <c r="T569" s="7">
        <f t="shared" si="17"/>
        <v>2.1341338627681398E-3</v>
      </c>
      <c r="U569" s="3">
        <f t="shared" si="16"/>
        <v>0</v>
      </c>
    </row>
    <row r="570" spans="1:21">
      <c r="A570" s="2">
        <v>569</v>
      </c>
      <c r="B570" s="2">
        <v>0</v>
      </c>
      <c r="C570" s="8">
        <f>(data!C570-AVERAGE(data!C:C))/_xlfn.STDEV.S(data!C:C)</f>
        <v>-0.38258214550217629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8">
        <f>(data!J570-AVERAGE(data!J:J))/_xlfn.STDEV.S(data!J:J)</f>
        <v>-4.4222088200230422E-2</v>
      </c>
      <c r="K570" s="2">
        <v>0</v>
      </c>
      <c r="L570" s="2">
        <v>1</v>
      </c>
      <c r="M570" s="2">
        <v>0</v>
      </c>
      <c r="N570" s="2">
        <v>1</v>
      </c>
      <c r="O570" s="2">
        <v>0</v>
      </c>
      <c r="P570" s="2">
        <v>1</v>
      </c>
      <c r="Q570" s="2">
        <v>0</v>
      </c>
      <c r="R570" s="2">
        <v>0</v>
      </c>
      <c r="S570" s="6" cm="1">
        <f t="array" ref="S570">$Y$2+MMULT(C570:R570,$Y$3:$Y$18)</f>
        <v>-11.156147501934603</v>
      </c>
      <c r="T570" s="7">
        <f t="shared" si="17"/>
        <v>1.4286981942138464E-5</v>
      </c>
      <c r="U570" s="3">
        <f t="shared" si="16"/>
        <v>0</v>
      </c>
    </row>
    <row r="571" spans="1:21">
      <c r="A571" s="2">
        <v>570</v>
      </c>
      <c r="B571" s="2">
        <v>0</v>
      </c>
      <c r="C571" s="8">
        <f>(data!C571-AVERAGE(data!C:C))/_xlfn.STDEV.S(data!C:C)</f>
        <v>-1.4746768706659057</v>
      </c>
      <c r="D571" s="2">
        <v>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8">
        <f>(data!J571-AVERAGE(data!J:J))/_xlfn.STDEV.S(data!J:J)</f>
        <v>2.9554365876391778E-2</v>
      </c>
      <c r="K571" s="2">
        <v>0</v>
      </c>
      <c r="L571" s="2">
        <v>1</v>
      </c>
      <c r="M571" s="2">
        <v>0</v>
      </c>
      <c r="N571" s="2">
        <v>1</v>
      </c>
      <c r="O571" s="2">
        <v>1</v>
      </c>
      <c r="P571" s="2">
        <v>1</v>
      </c>
      <c r="Q571" s="2">
        <v>0</v>
      </c>
      <c r="R571" s="2">
        <v>0</v>
      </c>
      <c r="S571" s="6" cm="1">
        <f t="array" ref="S571">$Y$2+MMULT(C571:R571,$Y$3:$Y$18)</f>
        <v>-15.73984657806627</v>
      </c>
      <c r="T571" s="7">
        <f t="shared" si="17"/>
        <v>1.4597262628156521E-7</v>
      </c>
      <c r="U571" s="3">
        <f t="shared" si="16"/>
        <v>0</v>
      </c>
    </row>
    <row r="572" spans="1:21">
      <c r="A572" s="2">
        <v>571</v>
      </c>
      <c r="B572" s="2">
        <v>1</v>
      </c>
      <c r="C572" s="8">
        <f>(data!C572-AVERAGE(data!C:C))/_xlfn.STDEV.S(data!C:C)</f>
        <v>1.4235745153455301</v>
      </c>
      <c r="D572" s="2">
        <v>1</v>
      </c>
      <c r="E572" s="2">
        <v>1</v>
      </c>
      <c r="F572" s="2">
        <v>0</v>
      </c>
      <c r="G572" s="2">
        <v>0</v>
      </c>
      <c r="H572" s="2">
        <v>0</v>
      </c>
      <c r="I572" s="2">
        <v>0</v>
      </c>
      <c r="J572" s="8">
        <f>(data!J572-AVERAGE(data!J:J))/_xlfn.STDEV.S(data!J:J)</f>
        <v>-1.0770924452729411</v>
      </c>
      <c r="K572" s="2">
        <v>0</v>
      </c>
      <c r="L572" s="2">
        <v>1</v>
      </c>
      <c r="M572" s="2">
        <v>1</v>
      </c>
      <c r="N572" s="2">
        <v>1</v>
      </c>
      <c r="O572" s="2">
        <v>1</v>
      </c>
      <c r="P572" s="2">
        <v>1</v>
      </c>
      <c r="Q572" s="2">
        <v>0</v>
      </c>
      <c r="R572" s="2">
        <v>0</v>
      </c>
      <c r="S572" s="6" cm="1">
        <f t="array" ref="S572">$Y$2+MMULT(C572:R572,$Y$3:$Y$18)</f>
        <v>2.2501376113028417</v>
      </c>
      <c r="T572" s="7">
        <f t="shared" si="17"/>
        <v>0.90466240450804514</v>
      </c>
      <c r="U572" s="3">
        <f t="shared" si="16"/>
        <v>1</v>
      </c>
    </row>
    <row r="573" spans="1:21">
      <c r="A573" s="2">
        <v>572</v>
      </c>
      <c r="B573" s="2">
        <v>1</v>
      </c>
      <c r="C573" s="8">
        <f>(data!C573-AVERAGE(data!C:C))/_xlfn.STDEV.S(data!C:C)</f>
        <v>1.255559942243418</v>
      </c>
      <c r="D573" s="2">
        <v>1</v>
      </c>
      <c r="E573" s="2">
        <v>1</v>
      </c>
      <c r="F573" s="2">
        <v>1</v>
      </c>
      <c r="G573" s="2">
        <v>1</v>
      </c>
      <c r="H573" s="2">
        <v>0</v>
      </c>
      <c r="I573" s="2">
        <v>0</v>
      </c>
      <c r="J573" s="8">
        <f>(data!J573-AVERAGE(data!J:J))/_xlfn.STDEV.S(data!J:J)</f>
        <v>-1.2246453534261856</v>
      </c>
      <c r="K573" s="2">
        <v>1</v>
      </c>
      <c r="L573" s="2">
        <v>0</v>
      </c>
      <c r="M573" s="2">
        <v>0</v>
      </c>
      <c r="N573" s="2">
        <v>1</v>
      </c>
      <c r="O573" s="2">
        <v>1</v>
      </c>
      <c r="P573" s="2">
        <v>1</v>
      </c>
      <c r="Q573" s="2">
        <v>0</v>
      </c>
      <c r="R573" s="2">
        <v>0</v>
      </c>
      <c r="S573" s="6" cm="1">
        <f t="array" ref="S573">$Y$2+MMULT(C573:R573,$Y$3:$Y$18)</f>
        <v>-0.59839955306495041</v>
      </c>
      <c r="T573" s="7">
        <f t="shared" si="17"/>
        <v>0.35470993610910678</v>
      </c>
      <c r="U573" s="3">
        <f t="shared" si="16"/>
        <v>0</v>
      </c>
    </row>
    <row r="574" spans="1:21">
      <c r="A574" s="2">
        <v>573</v>
      </c>
      <c r="B574" s="2">
        <v>0</v>
      </c>
      <c r="C574" s="8">
        <f>(data!C574-AVERAGE(data!C:C))/_xlfn.STDEV.S(data!C:C)</f>
        <v>-1.1806513677372095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8">
        <f>(data!J574-AVERAGE(data!J:J))/_xlfn.STDEV.S(data!J:J)</f>
        <v>-0.70821017488983018</v>
      </c>
      <c r="K574" s="2">
        <v>0</v>
      </c>
      <c r="L574" s="2">
        <v>0</v>
      </c>
      <c r="M574" s="2">
        <v>1</v>
      </c>
      <c r="N574" s="2">
        <v>1</v>
      </c>
      <c r="O574" s="2">
        <v>1</v>
      </c>
      <c r="P574" s="2">
        <v>1</v>
      </c>
      <c r="Q574" s="2">
        <v>0</v>
      </c>
      <c r="R574" s="2">
        <v>0</v>
      </c>
      <c r="S574" s="6" cm="1">
        <f t="array" ref="S574">$Y$2+MMULT(C574:R574,$Y$3:$Y$18)</f>
        <v>-12.27109150070229</v>
      </c>
      <c r="T574" s="7">
        <f t="shared" si="17"/>
        <v>4.6852270234232284E-6</v>
      </c>
      <c r="U574" s="3">
        <f t="shared" si="16"/>
        <v>0</v>
      </c>
    </row>
    <row r="575" spans="1:21">
      <c r="A575" s="2">
        <v>574</v>
      </c>
      <c r="B575" s="2">
        <v>0</v>
      </c>
      <c r="C575" s="8">
        <f>(data!C575-AVERAGE(data!C:C))/_xlfn.STDEV.S(data!C:C)</f>
        <v>1.1295490124168339</v>
      </c>
      <c r="D575" s="2">
        <v>1</v>
      </c>
      <c r="E575" s="2">
        <v>1</v>
      </c>
      <c r="F575" s="2">
        <v>1</v>
      </c>
      <c r="G575" s="2">
        <v>1</v>
      </c>
      <c r="H575" s="2">
        <v>0</v>
      </c>
      <c r="I575" s="2">
        <v>0</v>
      </c>
      <c r="J575" s="8">
        <f>(data!J575-AVERAGE(data!J:J))/_xlfn.STDEV.S(data!J:J)</f>
        <v>0.17710727402963619</v>
      </c>
      <c r="K575" s="2">
        <v>1</v>
      </c>
      <c r="L575" s="2">
        <v>1</v>
      </c>
      <c r="M575" s="2">
        <v>0</v>
      </c>
      <c r="N575" s="2">
        <v>1</v>
      </c>
      <c r="O575" s="2">
        <v>1</v>
      </c>
      <c r="P575" s="2">
        <v>1</v>
      </c>
      <c r="Q575" s="2">
        <v>0</v>
      </c>
      <c r="R575" s="2">
        <v>0</v>
      </c>
      <c r="S575" s="6" cm="1">
        <f t="array" ref="S575">$Y$2+MMULT(C575:R575,$Y$3:$Y$18)</f>
        <v>-1.354347140365427</v>
      </c>
      <c r="T575" s="7">
        <f t="shared" si="17"/>
        <v>0.20516057623087799</v>
      </c>
      <c r="U575" s="3">
        <f t="shared" si="16"/>
        <v>0</v>
      </c>
    </row>
    <row r="576" spans="1:21">
      <c r="A576" s="2">
        <v>575</v>
      </c>
      <c r="B576" s="2">
        <v>0</v>
      </c>
      <c r="C576" s="8">
        <f>(data!C576-AVERAGE(data!C:C))/_xlfn.STDEV.S(data!C:C)</f>
        <v>0.91953079603919352</v>
      </c>
      <c r="D576" s="2">
        <v>0</v>
      </c>
      <c r="E576" s="2">
        <v>1</v>
      </c>
      <c r="F576" s="2">
        <v>0</v>
      </c>
      <c r="G576" s="2">
        <v>1</v>
      </c>
      <c r="H576" s="2">
        <v>0</v>
      </c>
      <c r="I576" s="2">
        <v>0</v>
      </c>
      <c r="J576" s="8">
        <f>(data!J576-AVERAGE(data!J:J))/_xlfn.STDEV.S(data!J:J)</f>
        <v>2.9554365876391778E-2</v>
      </c>
      <c r="K576" s="2">
        <v>1</v>
      </c>
      <c r="L576" s="2">
        <v>0</v>
      </c>
      <c r="M576" s="2">
        <v>1</v>
      </c>
      <c r="N576" s="2">
        <v>1</v>
      </c>
      <c r="O576" s="2">
        <v>0</v>
      </c>
      <c r="P576" s="2">
        <v>1</v>
      </c>
      <c r="Q576" s="2">
        <v>0</v>
      </c>
      <c r="R576" s="2">
        <v>0</v>
      </c>
      <c r="S576" s="6" cm="1">
        <f t="array" ref="S576">$Y$2+MMULT(C576:R576,$Y$3:$Y$18)</f>
        <v>-1.6397637371369176</v>
      </c>
      <c r="T576" s="7">
        <f t="shared" si="17"/>
        <v>0.16249721347148699</v>
      </c>
      <c r="U576" s="3">
        <f t="shared" si="16"/>
        <v>0</v>
      </c>
    </row>
    <row r="577" spans="1:21">
      <c r="A577" s="2">
        <v>576</v>
      </c>
      <c r="B577" s="2">
        <v>0</v>
      </c>
      <c r="C577" s="8">
        <f>(data!C577-AVERAGE(data!C:C))/_xlfn.STDEV.S(data!C:C)</f>
        <v>-1.2646586542882654</v>
      </c>
      <c r="D577" s="2">
        <v>1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8">
        <f>(data!J577-AVERAGE(data!J:J))/_xlfn.STDEV.S(data!J:J)</f>
        <v>-1.2246453534261856</v>
      </c>
      <c r="K577" s="2">
        <v>0</v>
      </c>
      <c r="L577" s="2">
        <v>0</v>
      </c>
      <c r="M577" s="2">
        <v>0</v>
      </c>
      <c r="N577" s="2">
        <v>1</v>
      </c>
      <c r="O577" s="2">
        <v>1</v>
      </c>
      <c r="P577" s="2">
        <v>1</v>
      </c>
      <c r="Q577" s="2">
        <v>0</v>
      </c>
      <c r="R577" s="2">
        <v>0</v>
      </c>
      <c r="S577" s="6" cm="1">
        <f t="array" ref="S577">$Y$2+MMULT(C577:R577,$Y$3:$Y$18)</f>
        <v>-14.395685279949504</v>
      </c>
      <c r="T577" s="7">
        <f t="shared" si="17"/>
        <v>5.5980023518051715E-7</v>
      </c>
      <c r="U577" s="3">
        <f t="shared" si="16"/>
        <v>0</v>
      </c>
    </row>
    <row r="578" spans="1:21">
      <c r="A578" s="2">
        <v>577</v>
      </c>
      <c r="B578" s="2">
        <v>0</v>
      </c>
      <c r="C578" s="8">
        <f>(data!C578-AVERAGE(data!C:C))/_xlfn.STDEV.S(data!C:C)</f>
        <v>0.87752715276366544</v>
      </c>
      <c r="D578" s="2">
        <v>1</v>
      </c>
      <c r="E578" s="2">
        <v>1</v>
      </c>
      <c r="F578" s="2">
        <v>1</v>
      </c>
      <c r="G578" s="2">
        <v>0</v>
      </c>
      <c r="H578" s="2">
        <v>0</v>
      </c>
      <c r="I578" s="2">
        <v>0</v>
      </c>
      <c r="J578" s="8">
        <f>(data!J578-AVERAGE(data!J:J))/_xlfn.STDEV.S(data!J:J)</f>
        <v>1.8739657177919469</v>
      </c>
      <c r="K578" s="2">
        <v>0</v>
      </c>
      <c r="L578" s="2">
        <v>0</v>
      </c>
      <c r="M578" s="2">
        <v>1</v>
      </c>
      <c r="N578" s="2">
        <v>1</v>
      </c>
      <c r="O578" s="2">
        <v>0</v>
      </c>
      <c r="P578" s="2">
        <v>1</v>
      </c>
      <c r="Q578" s="2">
        <v>0</v>
      </c>
      <c r="R578" s="2">
        <v>0</v>
      </c>
      <c r="S578" s="6" cm="1">
        <f t="array" ref="S578">$Y$2+MMULT(C578:R578,$Y$3:$Y$18)</f>
        <v>-0.72175607089017602</v>
      </c>
      <c r="T578" s="7">
        <f t="shared" si="17"/>
        <v>0.3270064014260563</v>
      </c>
      <c r="U578" s="3">
        <f t="shared" ref="U578:U641" si="18">IF(T578&gt;=cut,1,0)</f>
        <v>0</v>
      </c>
    </row>
    <row r="579" spans="1:21">
      <c r="A579" s="2">
        <v>578</v>
      </c>
      <c r="B579" s="2">
        <v>0</v>
      </c>
      <c r="C579" s="8">
        <f>(data!C579-AVERAGE(data!C:C))/_xlfn.STDEV.S(data!C:C)</f>
        <v>1.3395672287944742</v>
      </c>
      <c r="D579" s="2">
        <v>1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8">
        <f>(data!J579-AVERAGE(data!J:J))/_xlfn.STDEV.S(data!J:J)</f>
        <v>-0.56065726673658578</v>
      </c>
      <c r="K579" s="2">
        <v>0</v>
      </c>
      <c r="L579" s="2">
        <v>1</v>
      </c>
      <c r="M579" s="2">
        <v>0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6" cm="1">
        <f t="array" ref="S579">$Y$2+MMULT(C579:R579,$Y$3:$Y$18)</f>
        <v>2.3995811839529546</v>
      </c>
      <c r="T579" s="7">
        <f t="shared" ref="T579:T642" si="19">EXP(S579)/(1+EXP(S579))</f>
        <v>0.916795361112964</v>
      </c>
      <c r="U579" s="3">
        <f t="shared" si="18"/>
        <v>1</v>
      </c>
    </row>
    <row r="580" spans="1:21">
      <c r="A580" s="2">
        <v>579</v>
      </c>
      <c r="B580" s="2">
        <v>0</v>
      </c>
      <c r="C580" s="8">
        <f>(data!C580-AVERAGE(data!C:C))/_xlfn.STDEV.S(data!C:C)</f>
        <v>-0.34057850222664821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8">
        <f>(data!J580-AVERAGE(data!J:J))/_xlfn.STDEV.S(data!J:J)</f>
        <v>0.10333081995301398</v>
      </c>
      <c r="K580" s="2">
        <v>0</v>
      </c>
      <c r="L580" s="2">
        <v>1</v>
      </c>
      <c r="M580" s="2">
        <v>0</v>
      </c>
      <c r="N580" s="2">
        <v>1</v>
      </c>
      <c r="O580" s="2">
        <v>1</v>
      </c>
      <c r="P580" s="2">
        <v>1</v>
      </c>
      <c r="Q580" s="2">
        <v>0</v>
      </c>
      <c r="R580" s="2">
        <v>0</v>
      </c>
      <c r="S580" s="6" cm="1">
        <f t="array" ref="S580">$Y$2+MMULT(C580:R580,$Y$3:$Y$18)</f>
        <v>-9.1159908959072489</v>
      </c>
      <c r="T580" s="7">
        <f t="shared" si="19"/>
        <v>1.0988229788892958E-4</v>
      </c>
      <c r="U580" s="3">
        <f t="shared" si="18"/>
        <v>0</v>
      </c>
    </row>
    <row r="581" spans="1:21">
      <c r="A581" s="2">
        <v>580</v>
      </c>
      <c r="B581" s="2">
        <v>0</v>
      </c>
      <c r="C581" s="8">
        <f>(data!C581-AVERAGE(data!C:C))/_xlfn.STDEV.S(data!C:C)</f>
        <v>0.20546886035521655</v>
      </c>
      <c r="D581" s="2">
        <v>0</v>
      </c>
      <c r="E581" s="2">
        <v>0</v>
      </c>
      <c r="F581" s="2">
        <v>0</v>
      </c>
      <c r="G581" s="2">
        <v>1</v>
      </c>
      <c r="H581" s="2">
        <v>0</v>
      </c>
      <c r="I581" s="2">
        <v>0</v>
      </c>
      <c r="J581" s="8">
        <f>(data!J581-AVERAGE(data!J:J))/_xlfn.STDEV.S(data!J:J)</f>
        <v>-1.2246453534261856</v>
      </c>
      <c r="K581" s="2">
        <v>0</v>
      </c>
      <c r="L581" s="2">
        <v>1</v>
      </c>
      <c r="M581" s="2">
        <v>1</v>
      </c>
      <c r="N581" s="2">
        <v>1</v>
      </c>
      <c r="O581" s="2">
        <v>1</v>
      </c>
      <c r="P581" s="2">
        <v>1</v>
      </c>
      <c r="Q581" s="2">
        <v>0</v>
      </c>
      <c r="R581" s="2">
        <v>0</v>
      </c>
      <c r="S581" s="6" cm="1">
        <f t="array" ref="S581">$Y$2+MMULT(C581:R581,$Y$3:$Y$18)</f>
        <v>-5.8903038984883223</v>
      </c>
      <c r="T581" s="7">
        <f t="shared" si="19"/>
        <v>2.7585055433007716E-3</v>
      </c>
      <c r="U581" s="3">
        <f t="shared" si="18"/>
        <v>0</v>
      </c>
    </row>
    <row r="582" spans="1:21">
      <c r="A582" s="2">
        <v>581</v>
      </c>
      <c r="B582" s="2">
        <v>0</v>
      </c>
      <c r="C582" s="8">
        <f>(data!C582-AVERAGE(data!C:C))/_xlfn.STDEV.S(data!C:C)</f>
        <v>0.45749072000838492</v>
      </c>
      <c r="D582" s="2">
        <v>1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8">
        <f>(data!J582-AVERAGE(data!J:J))/_xlfn.STDEV.S(data!J:J)</f>
        <v>-0.41310435858334144</v>
      </c>
      <c r="K582" s="2">
        <v>0</v>
      </c>
      <c r="L582" s="2">
        <v>0</v>
      </c>
      <c r="M582" s="2">
        <v>1</v>
      </c>
      <c r="N582" s="2">
        <v>1</v>
      </c>
      <c r="O582" s="2">
        <v>1</v>
      </c>
      <c r="P582" s="2">
        <v>1</v>
      </c>
      <c r="Q582" s="2">
        <v>0</v>
      </c>
      <c r="R582" s="2">
        <v>0</v>
      </c>
      <c r="S582" s="6" cm="1">
        <f t="array" ref="S582">$Y$2+MMULT(C582:R582,$Y$3:$Y$18)</f>
        <v>-2.1534801800607126</v>
      </c>
      <c r="T582" s="7">
        <f t="shared" si="19"/>
        <v>0.10400646097567989</v>
      </c>
      <c r="U582" s="3">
        <f t="shared" si="18"/>
        <v>0</v>
      </c>
    </row>
    <row r="583" spans="1:21">
      <c r="A583" s="2">
        <v>582</v>
      </c>
      <c r="B583" s="2">
        <v>0</v>
      </c>
      <c r="C583" s="8">
        <f>(data!C583-AVERAGE(data!C:C))/_xlfn.STDEV.S(data!C:C)</f>
        <v>0.37348343345732876</v>
      </c>
      <c r="D583" s="2">
        <v>0</v>
      </c>
      <c r="E583" s="2">
        <v>0</v>
      </c>
      <c r="F583" s="2">
        <v>1</v>
      </c>
      <c r="G583" s="2">
        <v>1</v>
      </c>
      <c r="H583" s="2">
        <v>0</v>
      </c>
      <c r="I583" s="2">
        <v>0</v>
      </c>
      <c r="J583" s="8">
        <f>(data!J583-AVERAGE(data!J:J))/_xlfn.STDEV.S(data!J:J)</f>
        <v>2.2428479881750576</v>
      </c>
      <c r="K583" s="2">
        <v>0</v>
      </c>
      <c r="L583" s="2">
        <v>0</v>
      </c>
      <c r="M583" s="2">
        <v>0</v>
      </c>
      <c r="N583" s="2">
        <v>0</v>
      </c>
      <c r="O583" s="2">
        <v>1</v>
      </c>
      <c r="P583" s="2">
        <v>1</v>
      </c>
      <c r="Q583" s="2">
        <v>0</v>
      </c>
      <c r="R583" s="2">
        <v>0</v>
      </c>
      <c r="S583" s="6" cm="1">
        <f t="array" ref="S583">$Y$2+MMULT(C583:R583,$Y$3:$Y$18)</f>
        <v>-3.6323801476306579</v>
      </c>
      <c r="T583" s="7">
        <f t="shared" si="19"/>
        <v>2.5771412071741894E-2</v>
      </c>
      <c r="U583" s="3">
        <f t="shared" si="18"/>
        <v>0</v>
      </c>
    </row>
    <row r="584" spans="1:21">
      <c r="A584" s="2">
        <v>583</v>
      </c>
      <c r="B584" s="2">
        <v>0</v>
      </c>
      <c r="C584" s="8">
        <f>(data!C584-AVERAGE(data!C:C))/_xlfn.STDEV.S(data!C:C)</f>
        <v>-0.76061493498192878</v>
      </c>
      <c r="D584" s="2">
        <v>1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8">
        <f>(data!J584-AVERAGE(data!J:J))/_xlfn.STDEV.S(data!J:J)</f>
        <v>-1.2246453534261856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1</v>
      </c>
      <c r="S584" s="6" cm="1">
        <f t="array" ref="S584">$Y$2+MMULT(C584:R584,$Y$3:$Y$18)</f>
        <v>-9.11756917917163</v>
      </c>
      <c r="T584" s="7">
        <f t="shared" si="19"/>
        <v>1.0970902829366975E-4</v>
      </c>
      <c r="U584" s="3">
        <f t="shared" si="18"/>
        <v>0</v>
      </c>
    </row>
    <row r="585" spans="1:21">
      <c r="A585" s="2">
        <v>584</v>
      </c>
      <c r="B585" s="2">
        <v>0</v>
      </c>
      <c r="C585" s="8">
        <f>(data!C585-AVERAGE(data!C:C))/_xlfn.STDEV.S(data!C:C)</f>
        <v>1.4655781586210583</v>
      </c>
      <c r="D585" s="2">
        <v>1</v>
      </c>
      <c r="E585" s="2">
        <v>0</v>
      </c>
      <c r="F585" s="2">
        <v>1</v>
      </c>
      <c r="G585" s="2">
        <v>1</v>
      </c>
      <c r="H585" s="2">
        <v>0</v>
      </c>
      <c r="I585" s="2">
        <v>0</v>
      </c>
      <c r="J585" s="8">
        <f>(data!J585-AVERAGE(data!J:J))/_xlfn.STDEV.S(data!J:J)</f>
        <v>-1.2984218075028078</v>
      </c>
      <c r="K585" s="2">
        <v>0</v>
      </c>
      <c r="L585" s="2">
        <v>0</v>
      </c>
      <c r="M585" s="2">
        <v>0</v>
      </c>
      <c r="N585" s="2">
        <v>1</v>
      </c>
      <c r="O585" s="2">
        <v>1</v>
      </c>
      <c r="P585" s="2">
        <v>1</v>
      </c>
      <c r="Q585" s="2">
        <v>0</v>
      </c>
      <c r="R585" s="2">
        <v>0</v>
      </c>
      <c r="S585" s="6" cm="1">
        <f t="array" ref="S585">$Y$2+MMULT(C585:R585,$Y$3:$Y$18)</f>
        <v>0.49297120650047965</v>
      </c>
      <c r="T585" s="7">
        <f t="shared" si="19"/>
        <v>0.62080612245828748</v>
      </c>
      <c r="U585" s="3">
        <f t="shared" si="18"/>
        <v>1</v>
      </c>
    </row>
    <row r="586" spans="1:21">
      <c r="A586" s="2">
        <v>585</v>
      </c>
      <c r="B586" s="2">
        <v>0</v>
      </c>
      <c r="C586" s="8">
        <f>(data!C586-AVERAGE(data!C:C))/_xlfn.STDEV.S(data!C:C)</f>
        <v>-0.55059671860428849</v>
      </c>
      <c r="D586" s="2">
        <v>1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8">
        <f>(data!J586-AVERAGE(data!J:J))/_xlfn.STDEV.S(data!J:J)</f>
        <v>-0.33932790450671924</v>
      </c>
      <c r="K586" s="2">
        <v>0</v>
      </c>
      <c r="L586" s="2">
        <v>0</v>
      </c>
      <c r="M586" s="2">
        <v>0</v>
      </c>
      <c r="N586" s="2">
        <v>0</v>
      </c>
      <c r="O586" s="2">
        <v>1</v>
      </c>
      <c r="P586" s="2">
        <v>1</v>
      </c>
      <c r="Q586" s="2">
        <v>1</v>
      </c>
      <c r="R586" s="2">
        <v>0</v>
      </c>
      <c r="S586" s="6" cm="1">
        <f t="array" ref="S586">$Y$2+MMULT(C586:R586,$Y$3:$Y$18)</f>
        <v>-8.1647127861796864</v>
      </c>
      <c r="T586" s="7">
        <f t="shared" si="19"/>
        <v>2.8443742835571333E-4</v>
      </c>
      <c r="U586" s="3">
        <f t="shared" si="18"/>
        <v>0</v>
      </c>
    </row>
    <row r="587" spans="1:21">
      <c r="A587" s="2">
        <v>586</v>
      </c>
      <c r="B587" s="2">
        <v>0</v>
      </c>
      <c r="C587" s="8">
        <f>(data!C587-AVERAGE(data!C:C))/_xlfn.STDEV.S(data!C:C)</f>
        <v>0.1634652170796885</v>
      </c>
      <c r="D587" s="2">
        <v>0</v>
      </c>
      <c r="E587" s="2">
        <v>0</v>
      </c>
      <c r="F587" s="2">
        <v>1</v>
      </c>
      <c r="G587" s="2">
        <v>1</v>
      </c>
      <c r="H587" s="2">
        <v>0</v>
      </c>
      <c r="I587" s="2">
        <v>0</v>
      </c>
      <c r="J587" s="8">
        <f>(data!J587-AVERAGE(data!J:J))/_xlfn.STDEV.S(data!J:J)</f>
        <v>-0.56065726673658578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1</v>
      </c>
      <c r="Q587" s="2">
        <v>0</v>
      </c>
      <c r="R587" s="2">
        <v>0</v>
      </c>
      <c r="S587" s="6" cm="1">
        <f t="array" ref="S587">$Y$2+MMULT(C587:R587,$Y$3:$Y$18)</f>
        <v>-8.2494024463132796</v>
      </c>
      <c r="T587" s="7">
        <f t="shared" si="19"/>
        <v>2.6134640017289631E-4</v>
      </c>
      <c r="U587" s="3">
        <f t="shared" si="18"/>
        <v>0</v>
      </c>
    </row>
    <row r="588" spans="1:21">
      <c r="A588" s="2">
        <v>587</v>
      </c>
      <c r="B588" s="2">
        <v>0</v>
      </c>
      <c r="C588" s="8">
        <f>(data!C588-AVERAGE(data!C:C))/_xlfn.STDEV.S(data!C:C)</f>
        <v>-1.1386477244616813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8">
        <f>(data!J588-AVERAGE(data!J:J))/_xlfn.STDEV.S(data!J:J)</f>
        <v>-0.11799854227685262</v>
      </c>
      <c r="K588" s="2">
        <v>0</v>
      </c>
      <c r="L588" s="2">
        <v>1</v>
      </c>
      <c r="M588" s="2">
        <v>0</v>
      </c>
      <c r="N588" s="2">
        <v>1</v>
      </c>
      <c r="O588" s="2">
        <v>1</v>
      </c>
      <c r="P588" s="2">
        <v>1</v>
      </c>
      <c r="Q588" s="2">
        <v>0</v>
      </c>
      <c r="R588" s="2">
        <v>1</v>
      </c>
      <c r="S588" s="6" cm="1">
        <f t="array" ref="S588">$Y$2+MMULT(C588:R588,$Y$3:$Y$18)</f>
        <v>-13.784462896818628</v>
      </c>
      <c r="T588" s="7">
        <f t="shared" si="19"/>
        <v>1.0315336027762563E-6</v>
      </c>
      <c r="U588" s="3">
        <f t="shared" si="18"/>
        <v>0</v>
      </c>
    </row>
    <row r="589" spans="1:21">
      <c r="A589" s="2">
        <v>588</v>
      </c>
      <c r="B589" s="2">
        <v>0</v>
      </c>
      <c r="C589" s="8">
        <f>(data!C589-AVERAGE(data!C:C))/_xlfn.STDEV.S(data!C:C)</f>
        <v>-0.21456757240006402</v>
      </c>
      <c r="D589" s="2">
        <v>1</v>
      </c>
      <c r="E589" s="2">
        <v>1</v>
      </c>
      <c r="F589" s="2">
        <v>1</v>
      </c>
      <c r="G589" s="2">
        <v>1</v>
      </c>
      <c r="H589" s="2">
        <v>0</v>
      </c>
      <c r="I589" s="2">
        <v>0</v>
      </c>
      <c r="J589" s="8">
        <f>(data!J589-AVERAGE(data!J:J))/_xlfn.STDEV.S(data!J:J)</f>
        <v>-0.26555145043009704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>
        <v>1</v>
      </c>
      <c r="Q589" s="2">
        <v>0</v>
      </c>
      <c r="R589" s="2">
        <v>0</v>
      </c>
      <c r="S589" s="6" cm="1">
        <f t="array" ref="S589">$Y$2+MMULT(C589:R589,$Y$3:$Y$18)</f>
        <v>-8.1311755109815493</v>
      </c>
      <c r="T589" s="7">
        <f t="shared" si="19"/>
        <v>2.9413559488919422E-4</v>
      </c>
      <c r="U589" s="3">
        <f t="shared" si="18"/>
        <v>0</v>
      </c>
    </row>
    <row r="590" spans="1:21">
      <c r="A590" s="2">
        <v>589</v>
      </c>
      <c r="B590" s="2">
        <v>0</v>
      </c>
      <c r="C590" s="8">
        <f>(data!C590-AVERAGE(data!C:C))/_xlfn.STDEV.S(data!C:C)</f>
        <v>-0.50859307532876041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1</v>
      </c>
      <c r="J590" s="8">
        <f>(data!J590-AVERAGE(data!J:J))/_xlfn.STDEV.S(data!J:J)</f>
        <v>0.10333081995301398</v>
      </c>
      <c r="K590" s="2">
        <v>0</v>
      </c>
      <c r="L590" s="2">
        <v>0</v>
      </c>
      <c r="M590" s="2">
        <v>1</v>
      </c>
      <c r="N590" s="2">
        <v>1</v>
      </c>
      <c r="O590" s="2">
        <v>0</v>
      </c>
      <c r="P590" s="2">
        <v>1</v>
      </c>
      <c r="Q590" s="2">
        <v>0</v>
      </c>
      <c r="R590" s="2">
        <v>0</v>
      </c>
      <c r="S590" s="6" cm="1">
        <f t="array" ref="S590">$Y$2+MMULT(C590:R590,$Y$3:$Y$18)</f>
        <v>-8.6413687281200513</v>
      </c>
      <c r="T590" s="7">
        <f t="shared" si="19"/>
        <v>1.7661375985111174E-4</v>
      </c>
      <c r="U590" s="3">
        <f t="shared" si="18"/>
        <v>0</v>
      </c>
    </row>
    <row r="591" spans="1:21">
      <c r="A591" s="2">
        <v>590</v>
      </c>
      <c r="B591" s="2">
        <v>0</v>
      </c>
      <c r="C591" s="8">
        <f>(data!C591-AVERAGE(data!C:C))/_xlfn.STDEV.S(data!C:C)</f>
        <v>-0.13056028584900792</v>
      </c>
      <c r="D591" s="2">
        <v>1</v>
      </c>
      <c r="E591" s="2">
        <v>0</v>
      </c>
      <c r="F591" s="2">
        <v>0</v>
      </c>
      <c r="G591" s="2">
        <v>1</v>
      </c>
      <c r="H591" s="2">
        <v>0</v>
      </c>
      <c r="I591" s="2">
        <v>0</v>
      </c>
      <c r="J591" s="8">
        <f>(data!J591-AVERAGE(data!J:J))/_xlfn.STDEV.S(data!J:J)</f>
        <v>1.6526363555620802</v>
      </c>
      <c r="K591" s="2">
        <v>0</v>
      </c>
      <c r="L591" s="2">
        <v>0</v>
      </c>
      <c r="M591" s="2">
        <v>0</v>
      </c>
      <c r="N591" s="2">
        <v>0</v>
      </c>
      <c r="O591" s="2">
        <v>1</v>
      </c>
      <c r="P591" s="2">
        <v>1</v>
      </c>
      <c r="Q591" s="2">
        <v>0</v>
      </c>
      <c r="R591" s="2">
        <v>0</v>
      </c>
      <c r="S591" s="6" cm="1">
        <f t="array" ref="S591">$Y$2+MMULT(C591:R591,$Y$3:$Y$18)</f>
        <v>-6.205311583972752</v>
      </c>
      <c r="T591" s="7">
        <f t="shared" si="19"/>
        <v>2.0146128643829778E-3</v>
      </c>
      <c r="U591" s="3">
        <f t="shared" si="18"/>
        <v>0</v>
      </c>
    </row>
    <row r="592" spans="1:21">
      <c r="A592" s="2">
        <v>591</v>
      </c>
      <c r="B592" s="2">
        <v>1</v>
      </c>
      <c r="C592" s="8">
        <f>(data!C592-AVERAGE(data!C:C))/_xlfn.STDEV.S(data!C:C)</f>
        <v>1.6755963749986986</v>
      </c>
      <c r="D592" s="2">
        <v>1</v>
      </c>
      <c r="E592" s="2">
        <v>0</v>
      </c>
      <c r="F592" s="2">
        <v>0</v>
      </c>
      <c r="G592" s="2">
        <v>1</v>
      </c>
      <c r="H592" s="2">
        <v>0</v>
      </c>
      <c r="I592" s="2">
        <v>0</v>
      </c>
      <c r="J592" s="8">
        <f>(data!J592-AVERAGE(data!J:J))/_xlfn.STDEV.S(data!J:J)</f>
        <v>0.10333081995301398</v>
      </c>
      <c r="K592" s="2">
        <v>0</v>
      </c>
      <c r="L592" s="2">
        <v>1</v>
      </c>
      <c r="M592" s="2">
        <v>1</v>
      </c>
      <c r="N592" s="2">
        <v>1</v>
      </c>
      <c r="O592" s="2">
        <v>1</v>
      </c>
      <c r="P592" s="2">
        <v>1</v>
      </c>
      <c r="Q592" s="2">
        <v>1</v>
      </c>
      <c r="R592" s="2">
        <v>0</v>
      </c>
      <c r="S592" s="6" cm="1">
        <f t="array" ref="S592">$Y$2+MMULT(C592:R592,$Y$3:$Y$18)</f>
        <v>4.8265142562539243</v>
      </c>
      <c r="T592" s="7">
        <f t="shared" si="19"/>
        <v>0.99204931126117557</v>
      </c>
      <c r="U592" s="3">
        <f t="shared" si="18"/>
        <v>1</v>
      </c>
    </row>
    <row r="593" spans="1:21">
      <c r="A593" s="2">
        <v>592</v>
      </c>
      <c r="B593" s="2">
        <v>0</v>
      </c>
      <c r="C593" s="8">
        <f>(data!C593-AVERAGE(data!C:C))/_xlfn.STDEV.S(data!C:C)</f>
        <v>-0.92862950808404099</v>
      </c>
      <c r="D593" s="2">
        <v>0</v>
      </c>
      <c r="E593" s="2">
        <v>1</v>
      </c>
      <c r="F593" s="2">
        <v>0</v>
      </c>
      <c r="G593" s="2">
        <v>1</v>
      </c>
      <c r="H593" s="2">
        <v>0</v>
      </c>
      <c r="I593" s="2">
        <v>0</v>
      </c>
      <c r="J593" s="8">
        <f>(data!J593-AVERAGE(data!J:J))/_xlfn.STDEV.S(data!J:J)</f>
        <v>0.10333081995301398</v>
      </c>
      <c r="K593" s="2">
        <v>1</v>
      </c>
      <c r="L593" s="2">
        <v>0</v>
      </c>
      <c r="M593" s="2">
        <v>0</v>
      </c>
      <c r="N593" s="2">
        <v>0</v>
      </c>
      <c r="O593" s="2">
        <v>0</v>
      </c>
      <c r="P593" s="2">
        <v>1</v>
      </c>
      <c r="Q593" s="2">
        <v>0</v>
      </c>
      <c r="R593" s="2">
        <v>0</v>
      </c>
      <c r="S593" s="6" cm="1">
        <f t="array" ref="S593">$Y$2+MMULT(C593:R593,$Y$3:$Y$18)</f>
        <v>-13.645747260312609</v>
      </c>
      <c r="T593" s="7">
        <f t="shared" si="19"/>
        <v>1.1850229158001017E-6</v>
      </c>
      <c r="U593" s="3">
        <f t="shared" si="18"/>
        <v>0</v>
      </c>
    </row>
    <row r="594" spans="1:21">
      <c r="A594" s="2">
        <v>593</v>
      </c>
      <c r="B594" s="2">
        <v>0</v>
      </c>
      <c r="C594" s="8">
        <f>(data!C594-AVERAGE(data!C:C))/_xlfn.STDEV.S(data!C:C)</f>
        <v>-0.76061493498192878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8">
        <f>(data!J594-AVERAGE(data!J:J))/_xlfn.STDEV.S(data!J:J)</f>
        <v>2.9554365876391778E-2</v>
      </c>
      <c r="K594" s="2">
        <v>0</v>
      </c>
      <c r="L594" s="2">
        <v>0</v>
      </c>
      <c r="M594" s="2">
        <v>0</v>
      </c>
      <c r="N594" s="2">
        <v>1</v>
      </c>
      <c r="O594" s="2">
        <v>0</v>
      </c>
      <c r="P594" s="2">
        <v>1</v>
      </c>
      <c r="Q594" s="2">
        <v>0</v>
      </c>
      <c r="R594" s="2">
        <v>0</v>
      </c>
      <c r="S594" s="6" cm="1">
        <f t="array" ref="S594">$Y$2+MMULT(C594:R594,$Y$3:$Y$18)</f>
        <v>-12.529043908509184</v>
      </c>
      <c r="T594" s="7">
        <f t="shared" si="19"/>
        <v>3.6199601934342708E-6</v>
      </c>
      <c r="U594" s="3">
        <f t="shared" si="18"/>
        <v>0</v>
      </c>
    </row>
    <row r="595" spans="1:21">
      <c r="A595" s="2">
        <v>594</v>
      </c>
      <c r="B595" s="2">
        <v>0</v>
      </c>
      <c r="C595" s="8">
        <f>(data!C595-AVERAGE(data!C:C))/_xlfn.STDEV.S(data!C:C)</f>
        <v>-0.92862950808404099</v>
      </c>
      <c r="D595" s="2">
        <v>1</v>
      </c>
      <c r="E595" s="2">
        <v>1</v>
      </c>
      <c r="F595" s="2">
        <v>0</v>
      </c>
      <c r="G595" s="2">
        <v>1</v>
      </c>
      <c r="H595" s="2">
        <v>0</v>
      </c>
      <c r="I595" s="2">
        <v>0</v>
      </c>
      <c r="J595" s="8">
        <f>(data!J595-AVERAGE(data!J:J))/_xlfn.STDEV.S(data!J:J)</f>
        <v>-0.41310435858334144</v>
      </c>
      <c r="K595" s="2">
        <v>0</v>
      </c>
      <c r="L595" s="2">
        <v>0</v>
      </c>
      <c r="M595" s="2">
        <v>1</v>
      </c>
      <c r="N595" s="2">
        <v>1</v>
      </c>
      <c r="O595" s="2">
        <v>1</v>
      </c>
      <c r="P595" s="2">
        <v>1</v>
      </c>
      <c r="Q595" s="2">
        <v>0</v>
      </c>
      <c r="R595" s="2">
        <v>0</v>
      </c>
      <c r="S595" s="6" cm="1">
        <f t="array" ref="S595">$Y$2+MMULT(C595:R595,$Y$3:$Y$18)</f>
        <v>-11.276540176206664</v>
      </c>
      <c r="T595" s="7">
        <f t="shared" si="19"/>
        <v>1.2666462027642818E-5</v>
      </c>
      <c r="U595" s="3">
        <f t="shared" si="18"/>
        <v>0</v>
      </c>
    </row>
    <row r="596" spans="1:21">
      <c r="A596" s="2">
        <v>595</v>
      </c>
      <c r="B596" s="2">
        <v>1</v>
      </c>
      <c r="C596" s="8">
        <f>(data!C596-AVERAGE(data!C:C))/_xlfn.STDEV.S(data!C:C)</f>
        <v>1.4235745153455301</v>
      </c>
      <c r="D596" s="2">
        <v>1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8">
        <f>(data!J596-AVERAGE(data!J:J))/_xlfn.STDEV.S(data!J:J)</f>
        <v>-0.33932790450671924</v>
      </c>
      <c r="K596" s="2">
        <v>0</v>
      </c>
      <c r="L596" s="2">
        <v>0</v>
      </c>
      <c r="M596" s="2">
        <v>0</v>
      </c>
      <c r="N596" s="2">
        <v>0</v>
      </c>
      <c r="O596" s="2">
        <v>1</v>
      </c>
      <c r="P596" s="2">
        <v>1</v>
      </c>
      <c r="Q596" s="2">
        <v>0</v>
      </c>
      <c r="R596" s="2">
        <v>0</v>
      </c>
      <c r="S596" s="6" cm="1">
        <f t="array" ref="S596">$Y$2+MMULT(C596:R596,$Y$3:$Y$18)</f>
        <v>2.6135279791555881</v>
      </c>
      <c r="T596" s="7">
        <f t="shared" si="19"/>
        <v>0.9317271589953201</v>
      </c>
      <c r="U596" s="3">
        <f t="shared" si="18"/>
        <v>1</v>
      </c>
    </row>
    <row r="597" spans="1:21">
      <c r="A597" s="2">
        <v>596</v>
      </c>
      <c r="B597" s="2">
        <v>0</v>
      </c>
      <c r="C597" s="8">
        <f>(data!C597-AVERAGE(data!C:C))/_xlfn.STDEV.S(data!C:C)</f>
        <v>-0.88662586480851291</v>
      </c>
      <c r="D597" s="2">
        <v>0</v>
      </c>
      <c r="E597" s="2">
        <v>0</v>
      </c>
      <c r="F597" s="2">
        <v>0</v>
      </c>
      <c r="G597" s="2">
        <v>1</v>
      </c>
      <c r="H597" s="2">
        <v>0</v>
      </c>
      <c r="I597" s="2">
        <v>0</v>
      </c>
      <c r="J597" s="8">
        <f>(data!J597-AVERAGE(data!J:J))/_xlfn.STDEV.S(data!J:J)</f>
        <v>0.32466018218288056</v>
      </c>
      <c r="K597" s="2">
        <v>0</v>
      </c>
      <c r="L597" s="2">
        <v>0</v>
      </c>
      <c r="M597" s="2">
        <v>0</v>
      </c>
      <c r="N597" s="2">
        <v>1</v>
      </c>
      <c r="O597" s="2">
        <v>0</v>
      </c>
      <c r="P597" s="2">
        <v>1</v>
      </c>
      <c r="Q597" s="2">
        <v>0</v>
      </c>
      <c r="R597" s="2">
        <v>0</v>
      </c>
      <c r="S597" s="6" cm="1">
        <f t="array" ref="S597">$Y$2+MMULT(C597:R597,$Y$3:$Y$18)</f>
        <v>-13.842781058019742</v>
      </c>
      <c r="T597" s="7">
        <f t="shared" si="19"/>
        <v>9.730970359430977E-7</v>
      </c>
      <c r="U597" s="3">
        <f t="shared" si="18"/>
        <v>0</v>
      </c>
    </row>
    <row r="598" spans="1:21">
      <c r="A598" s="2">
        <v>597</v>
      </c>
      <c r="B598" s="2">
        <v>1</v>
      </c>
      <c r="C598" s="8">
        <f>(data!C598-AVERAGE(data!C:C))/_xlfn.STDEV.S(data!C:C)</f>
        <v>1.6755963749986986</v>
      </c>
      <c r="D598" s="2">
        <v>1</v>
      </c>
      <c r="E598" s="2">
        <v>1</v>
      </c>
      <c r="F598" s="2">
        <v>1</v>
      </c>
      <c r="G598" s="2">
        <v>0</v>
      </c>
      <c r="H598" s="2">
        <v>0</v>
      </c>
      <c r="I598" s="2">
        <v>0</v>
      </c>
      <c r="J598" s="8">
        <f>(data!J598-AVERAGE(data!J:J))/_xlfn.STDEV.S(data!J:J)</f>
        <v>-4.4222088200230422E-2</v>
      </c>
      <c r="K598" s="2">
        <v>0</v>
      </c>
      <c r="L598" s="2">
        <v>0</v>
      </c>
      <c r="M598" s="2">
        <v>1</v>
      </c>
      <c r="N598" s="2">
        <v>1</v>
      </c>
      <c r="O598" s="2">
        <v>1</v>
      </c>
      <c r="P598" s="2">
        <v>1</v>
      </c>
      <c r="Q598" s="2">
        <v>0</v>
      </c>
      <c r="R598" s="2">
        <v>0</v>
      </c>
      <c r="S598" s="6" cm="1">
        <f t="array" ref="S598">$Y$2+MMULT(C598:R598,$Y$3:$Y$18)</f>
        <v>4.5991939178886803</v>
      </c>
      <c r="T598" s="7">
        <f t="shared" si="19"/>
        <v>0.9900402528585811</v>
      </c>
      <c r="U598" s="3">
        <f t="shared" si="18"/>
        <v>1</v>
      </c>
    </row>
    <row r="599" spans="1:21">
      <c r="A599" s="2">
        <v>598</v>
      </c>
      <c r="B599" s="2">
        <v>0</v>
      </c>
      <c r="C599" s="8">
        <f>(data!C599-AVERAGE(data!C:C))/_xlfn.STDEV.S(data!C:C)</f>
        <v>-0.50859307532876041</v>
      </c>
      <c r="D599" s="2">
        <v>1</v>
      </c>
      <c r="E599" s="2">
        <v>0</v>
      </c>
      <c r="F599" s="2">
        <v>1</v>
      </c>
      <c r="G599" s="2">
        <v>0</v>
      </c>
      <c r="H599" s="2">
        <v>0</v>
      </c>
      <c r="I599" s="2">
        <v>0</v>
      </c>
      <c r="J599" s="8">
        <f>(data!J599-AVERAGE(data!J:J))/_xlfn.STDEV.S(data!J:J)</f>
        <v>-4.4222088200230422E-2</v>
      </c>
      <c r="K599" s="2">
        <v>0</v>
      </c>
      <c r="L599" s="2">
        <v>0</v>
      </c>
      <c r="M599" s="2">
        <v>1</v>
      </c>
      <c r="N599" s="2">
        <v>1</v>
      </c>
      <c r="O599" s="2">
        <v>0</v>
      </c>
      <c r="P599" s="2">
        <v>1</v>
      </c>
      <c r="Q599" s="2">
        <v>0</v>
      </c>
      <c r="R599" s="2">
        <v>0</v>
      </c>
      <c r="S599" s="6" cm="1">
        <f t="array" ref="S599">$Y$2+MMULT(C599:R599,$Y$3:$Y$18)</f>
        <v>-9.9969631479757979</v>
      </c>
      <c r="T599" s="7">
        <f t="shared" si="19"/>
        <v>4.5535938576788999E-5</v>
      </c>
      <c r="U599" s="3">
        <f t="shared" si="18"/>
        <v>0</v>
      </c>
    </row>
    <row r="600" spans="1:21">
      <c r="A600" s="2">
        <v>599</v>
      </c>
      <c r="B600" s="2">
        <v>0</v>
      </c>
      <c r="C600" s="8">
        <f>(data!C600-AVERAGE(data!C:C))/_xlfn.STDEV.S(data!C:C)</f>
        <v>0.45749072000838492</v>
      </c>
      <c r="D600" s="2">
        <v>1</v>
      </c>
      <c r="E600" s="2">
        <v>1</v>
      </c>
      <c r="F600" s="2">
        <v>1</v>
      </c>
      <c r="G600" s="2">
        <v>0</v>
      </c>
      <c r="H600" s="2">
        <v>1</v>
      </c>
      <c r="I600" s="2">
        <v>0</v>
      </c>
      <c r="J600" s="8">
        <f>(data!J600-AVERAGE(data!J:J))/_xlfn.STDEV.S(data!J:J)</f>
        <v>3.7183770697075018</v>
      </c>
      <c r="K600" s="2">
        <v>0</v>
      </c>
      <c r="L600" s="2">
        <v>0</v>
      </c>
      <c r="M600" s="2">
        <v>1</v>
      </c>
      <c r="N600" s="2">
        <v>1</v>
      </c>
      <c r="O600" s="2">
        <v>1</v>
      </c>
      <c r="P600" s="2">
        <v>1</v>
      </c>
      <c r="Q600" s="2">
        <v>0</v>
      </c>
      <c r="R600" s="2">
        <v>0</v>
      </c>
      <c r="S600" s="6" cm="1">
        <f t="array" ref="S600">$Y$2+MMULT(C600:R600,$Y$3:$Y$18)</f>
        <v>-3.2858643803443992</v>
      </c>
      <c r="T600" s="7">
        <f t="shared" si="19"/>
        <v>3.6059320589704132E-2</v>
      </c>
      <c r="U600" s="3">
        <f t="shared" si="18"/>
        <v>0</v>
      </c>
    </row>
    <row r="601" spans="1:21">
      <c r="A601" s="2">
        <v>600</v>
      </c>
      <c r="B601" s="2">
        <v>0</v>
      </c>
      <c r="C601" s="8">
        <f>(data!C601-AVERAGE(data!C:C))/_xlfn.STDEV.S(data!C:C)</f>
        <v>-1.3906695841148498</v>
      </c>
      <c r="D601" s="2">
        <v>1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8">
        <f>(data!J601-AVERAGE(data!J:J))/_xlfn.STDEV.S(data!J:J)</f>
        <v>-0.41310435858334144</v>
      </c>
      <c r="K601" s="2">
        <v>0</v>
      </c>
      <c r="L601" s="2">
        <v>1</v>
      </c>
      <c r="M601" s="2">
        <v>0</v>
      </c>
      <c r="N601" s="2">
        <v>1</v>
      </c>
      <c r="O601" s="2">
        <v>0</v>
      </c>
      <c r="P601" s="2">
        <v>1</v>
      </c>
      <c r="Q601" s="2">
        <v>0</v>
      </c>
      <c r="R601" s="2">
        <v>0</v>
      </c>
      <c r="S601" s="6" cm="1">
        <f t="array" ref="S601">$Y$2+MMULT(C601:R601,$Y$3:$Y$18)</f>
        <v>-17.204028489655403</v>
      </c>
      <c r="T601" s="7">
        <f t="shared" si="19"/>
        <v>3.3758671360987862E-8</v>
      </c>
      <c r="U601" s="3">
        <f t="shared" si="18"/>
        <v>0</v>
      </c>
    </row>
    <row r="602" spans="1:21">
      <c r="A602" s="2">
        <v>601</v>
      </c>
      <c r="B602" s="2">
        <v>0</v>
      </c>
      <c r="C602" s="8">
        <f>(data!C602-AVERAGE(data!C:C))/_xlfn.STDEV.S(data!C:C)</f>
        <v>7.9457930528632384E-2</v>
      </c>
      <c r="D602" s="2">
        <v>1</v>
      </c>
      <c r="E602" s="2">
        <v>1</v>
      </c>
      <c r="F602" s="2">
        <v>0</v>
      </c>
      <c r="G602" s="2">
        <v>0</v>
      </c>
      <c r="H602" s="2">
        <v>0</v>
      </c>
      <c r="I602" s="2">
        <v>0</v>
      </c>
      <c r="J602" s="8">
        <f>(data!J602-AVERAGE(data!J:J))/_xlfn.STDEV.S(data!J:J)</f>
        <v>-0.19177499635347484</v>
      </c>
      <c r="K602" s="2">
        <v>0</v>
      </c>
      <c r="L602" s="2">
        <v>1</v>
      </c>
      <c r="M602" s="2">
        <v>1</v>
      </c>
      <c r="N602" s="2">
        <v>1</v>
      </c>
      <c r="O602" s="2">
        <v>1</v>
      </c>
      <c r="P602" s="2">
        <v>1</v>
      </c>
      <c r="Q602" s="2">
        <v>0</v>
      </c>
      <c r="R602" s="2">
        <v>0</v>
      </c>
      <c r="S602" s="6" cm="1">
        <f t="array" ref="S602">$Y$2+MMULT(C602:R602,$Y$3:$Y$18)</f>
        <v>-5.2356791391016158</v>
      </c>
      <c r="T602" s="7">
        <f t="shared" si="19"/>
        <v>5.2950215557845803E-3</v>
      </c>
      <c r="U602" s="3">
        <f t="shared" si="18"/>
        <v>0</v>
      </c>
    </row>
    <row r="603" spans="1:21">
      <c r="A603" s="2">
        <v>602</v>
      </c>
      <c r="B603" s="2">
        <v>0</v>
      </c>
      <c r="C603" s="8">
        <f>(data!C603-AVERAGE(data!C:C))/_xlfn.STDEV.S(data!C:C)</f>
        <v>-0.88662586480851291</v>
      </c>
      <c r="D603" s="2">
        <v>1</v>
      </c>
      <c r="E603" s="2">
        <v>1</v>
      </c>
      <c r="F603" s="2">
        <v>0</v>
      </c>
      <c r="G603" s="2">
        <v>0</v>
      </c>
      <c r="H603" s="2">
        <v>0</v>
      </c>
      <c r="I603" s="2">
        <v>0</v>
      </c>
      <c r="J603" s="8">
        <f>(data!J603-AVERAGE(data!J:J))/_xlfn.STDEV.S(data!J:J)</f>
        <v>0.76731890664261382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1</v>
      </c>
      <c r="Q603" s="2">
        <v>0</v>
      </c>
      <c r="R603" s="2">
        <v>0</v>
      </c>
      <c r="S603" s="6" cm="1">
        <f t="array" ref="S603">$Y$2+MMULT(C603:R603,$Y$3:$Y$18)</f>
        <v>-12.325149684676996</v>
      </c>
      <c r="T603" s="7">
        <f t="shared" si="19"/>
        <v>4.4386773352608269E-6</v>
      </c>
      <c r="U603" s="3">
        <f t="shared" si="18"/>
        <v>0</v>
      </c>
    </row>
    <row r="604" spans="1:21">
      <c r="A604" s="2">
        <v>603</v>
      </c>
      <c r="B604" s="2">
        <v>0</v>
      </c>
      <c r="C604" s="8">
        <f>(data!C604-AVERAGE(data!C:C))/_xlfn.STDEV.S(data!C:C)</f>
        <v>-1.1386477244616813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8">
        <f>(data!J604-AVERAGE(data!J:J))/_xlfn.STDEV.S(data!J:J)</f>
        <v>-0.26555145043009704</v>
      </c>
      <c r="K604" s="2">
        <v>0</v>
      </c>
      <c r="L604" s="2">
        <v>1</v>
      </c>
      <c r="M604" s="2">
        <v>0</v>
      </c>
      <c r="N604" s="2">
        <v>1</v>
      </c>
      <c r="O604" s="2">
        <v>0</v>
      </c>
      <c r="P604" s="2">
        <v>1</v>
      </c>
      <c r="Q604" s="2">
        <v>0</v>
      </c>
      <c r="R604" s="2">
        <v>0</v>
      </c>
      <c r="S604" s="6" cm="1">
        <f t="array" ref="S604">$Y$2+MMULT(C604:R604,$Y$3:$Y$18)</f>
        <v>-15.793615459739335</v>
      </c>
      <c r="T604" s="7">
        <f t="shared" si="19"/>
        <v>1.3833112102937138E-7</v>
      </c>
      <c r="U604" s="3">
        <f t="shared" si="18"/>
        <v>0</v>
      </c>
    </row>
    <row r="605" spans="1:21">
      <c r="A605" s="2">
        <v>604</v>
      </c>
      <c r="B605" s="2">
        <v>0</v>
      </c>
      <c r="C605" s="8">
        <f>(data!C605-AVERAGE(data!C:C))/_xlfn.STDEV.S(data!C:C)</f>
        <v>-0.34057850222664821</v>
      </c>
      <c r="D605" s="2">
        <v>0</v>
      </c>
      <c r="E605" s="2">
        <v>0</v>
      </c>
      <c r="F605" s="2">
        <v>0</v>
      </c>
      <c r="G605" s="2">
        <v>1</v>
      </c>
      <c r="H605" s="2">
        <v>0</v>
      </c>
      <c r="I605" s="2">
        <v>0</v>
      </c>
      <c r="J605" s="8">
        <f>(data!J605-AVERAGE(data!J:J))/_xlfn.STDEV.S(data!J:J)</f>
        <v>-1.003315991196319</v>
      </c>
      <c r="K605" s="2">
        <v>0</v>
      </c>
      <c r="L605" s="2">
        <v>0</v>
      </c>
      <c r="M605" s="2">
        <v>0</v>
      </c>
      <c r="N605" s="2">
        <v>1</v>
      </c>
      <c r="O605" s="2">
        <v>0</v>
      </c>
      <c r="P605" s="2">
        <v>0</v>
      </c>
      <c r="Q605" s="2">
        <v>1</v>
      </c>
      <c r="R605" s="2">
        <v>0</v>
      </c>
      <c r="S605" s="6" cm="1">
        <f t="array" ref="S605">$Y$2+MMULT(C605:R605,$Y$3:$Y$18)</f>
        <v>-6.9693470824514359</v>
      </c>
      <c r="T605" s="7">
        <f t="shared" si="19"/>
        <v>9.3938335122865316E-4</v>
      </c>
      <c r="U605" s="3">
        <f t="shared" si="18"/>
        <v>0</v>
      </c>
    </row>
    <row r="606" spans="1:21">
      <c r="A606" s="2">
        <v>605</v>
      </c>
      <c r="B606" s="2">
        <v>0</v>
      </c>
      <c r="C606" s="8">
        <f>(data!C606-AVERAGE(data!C:C))/_xlfn.STDEV.S(data!C:C)</f>
        <v>-1.2646586542882654</v>
      </c>
      <c r="D606" s="2">
        <v>0</v>
      </c>
      <c r="E606" s="2">
        <v>1</v>
      </c>
      <c r="F606" s="2">
        <v>0</v>
      </c>
      <c r="G606" s="2">
        <v>0</v>
      </c>
      <c r="H606" s="2">
        <v>0</v>
      </c>
      <c r="I606" s="2">
        <v>1</v>
      </c>
      <c r="J606" s="8">
        <f>(data!J606-AVERAGE(data!J:J))/_xlfn.STDEV.S(data!J:J)</f>
        <v>1.0624247229491026</v>
      </c>
      <c r="K606" s="2">
        <v>0</v>
      </c>
      <c r="L606" s="2">
        <v>1</v>
      </c>
      <c r="M606" s="2">
        <v>1</v>
      </c>
      <c r="N606" s="2">
        <v>1</v>
      </c>
      <c r="O606" s="2">
        <v>0</v>
      </c>
      <c r="P606" s="2">
        <v>0</v>
      </c>
      <c r="Q606" s="2">
        <v>0</v>
      </c>
      <c r="R606" s="2">
        <v>0</v>
      </c>
      <c r="S606" s="6" cm="1">
        <f t="array" ref="S606">$Y$2+MMULT(C606:R606,$Y$3:$Y$18)</f>
        <v>-10.120187460381889</v>
      </c>
      <c r="T606" s="7">
        <f t="shared" si="19"/>
        <v>4.0256957248210815E-5</v>
      </c>
      <c r="U606" s="3">
        <f t="shared" si="18"/>
        <v>0</v>
      </c>
    </row>
    <row r="607" spans="1:21">
      <c r="A607" s="2">
        <v>606</v>
      </c>
      <c r="B607" s="2">
        <v>0</v>
      </c>
      <c r="C607" s="8">
        <f>(data!C607-AVERAGE(data!C:C))/_xlfn.STDEV.S(data!C:C)</f>
        <v>-1.2226550110127374</v>
      </c>
      <c r="D607" s="2">
        <v>1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8">
        <f>(data!J607-AVERAGE(data!J:J))/_xlfn.STDEV.S(data!J:J)</f>
        <v>-4.4222088200230422E-2</v>
      </c>
      <c r="K607" s="2">
        <v>0</v>
      </c>
      <c r="L607" s="2">
        <v>1</v>
      </c>
      <c r="M607" s="2">
        <v>0</v>
      </c>
      <c r="N607" s="2">
        <v>0</v>
      </c>
      <c r="O607" s="2">
        <v>1</v>
      </c>
      <c r="P607" s="2">
        <v>1</v>
      </c>
      <c r="Q607" s="2">
        <v>0</v>
      </c>
      <c r="R607" s="2">
        <v>0</v>
      </c>
      <c r="S607" s="6" cm="1">
        <f t="array" ref="S607">$Y$2+MMULT(C607:R607,$Y$3:$Y$18)</f>
        <v>-13.819464614007959</v>
      </c>
      <c r="T607" s="7">
        <f t="shared" si="19"/>
        <v>9.9605275882068305E-7</v>
      </c>
      <c r="U607" s="3">
        <f t="shared" si="18"/>
        <v>0</v>
      </c>
    </row>
    <row r="608" spans="1:21">
      <c r="A608" s="2">
        <v>607</v>
      </c>
      <c r="B608" s="2">
        <v>0</v>
      </c>
      <c r="C608" s="8">
        <f>(data!C608-AVERAGE(data!C:C))/_xlfn.STDEV.S(data!C:C)</f>
        <v>0.37348343345732876</v>
      </c>
      <c r="D608" s="2">
        <v>1</v>
      </c>
      <c r="E608" s="2">
        <v>0</v>
      </c>
      <c r="F608" s="2">
        <v>1</v>
      </c>
      <c r="G608" s="2">
        <v>0</v>
      </c>
      <c r="H608" s="2">
        <v>0</v>
      </c>
      <c r="I608" s="2">
        <v>0</v>
      </c>
      <c r="J608" s="8">
        <f>(data!J608-AVERAGE(data!J:J))/_xlfn.STDEV.S(data!J:J)</f>
        <v>-1.2984218075028078</v>
      </c>
      <c r="K608" s="2">
        <v>0</v>
      </c>
      <c r="L608" s="2">
        <v>1</v>
      </c>
      <c r="M608" s="2">
        <v>0</v>
      </c>
      <c r="N608" s="2">
        <v>1</v>
      </c>
      <c r="O608" s="2">
        <v>1</v>
      </c>
      <c r="P608" s="2">
        <v>1</v>
      </c>
      <c r="Q608" s="2">
        <v>0</v>
      </c>
      <c r="R608" s="2">
        <v>0</v>
      </c>
      <c r="S608" s="6" cm="1">
        <f t="array" ref="S608">$Y$2+MMULT(C608:R608,$Y$3:$Y$18)</f>
        <v>-6.1146168162371728</v>
      </c>
      <c r="T608" s="7">
        <f t="shared" si="19"/>
        <v>2.205447815806753E-3</v>
      </c>
      <c r="U608" s="3">
        <f t="shared" si="18"/>
        <v>0</v>
      </c>
    </row>
    <row r="609" spans="1:21">
      <c r="A609" s="2">
        <v>608</v>
      </c>
      <c r="B609" s="2">
        <v>0</v>
      </c>
      <c r="C609" s="8">
        <f>(data!C609-AVERAGE(data!C:C))/_xlfn.STDEV.S(data!C:C)</f>
        <v>-0.88662586480851291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8">
        <f>(data!J609-AVERAGE(data!J:J))/_xlfn.STDEV.S(data!J:J)</f>
        <v>0.10333081995301398</v>
      </c>
      <c r="K609" s="2">
        <v>1</v>
      </c>
      <c r="L609" s="2">
        <v>0</v>
      </c>
      <c r="M609" s="2">
        <v>0</v>
      </c>
      <c r="N609" s="2">
        <v>1</v>
      </c>
      <c r="O609" s="2">
        <v>0</v>
      </c>
      <c r="P609" s="2">
        <v>1</v>
      </c>
      <c r="Q609" s="2">
        <v>0</v>
      </c>
      <c r="R609" s="2">
        <v>0</v>
      </c>
      <c r="S609" s="6" cm="1">
        <f t="array" ref="S609">$Y$2+MMULT(C609:R609,$Y$3:$Y$18)</f>
        <v>-12.995755069600277</v>
      </c>
      <c r="T609" s="7">
        <f t="shared" si="19"/>
        <v>2.2699395891316052E-6</v>
      </c>
      <c r="U609" s="3">
        <f t="shared" si="18"/>
        <v>0</v>
      </c>
    </row>
    <row r="610" spans="1:21">
      <c r="A610" s="2">
        <v>609</v>
      </c>
      <c r="B610" s="2">
        <v>0</v>
      </c>
      <c r="C610" s="8">
        <f>(data!C610-AVERAGE(data!C:C))/_xlfn.STDEV.S(data!C:C)</f>
        <v>0.5835016498349691</v>
      </c>
      <c r="D610" s="2">
        <v>1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8">
        <f>(data!J610-AVERAGE(data!J:J))/_xlfn.STDEV.S(data!J:J)</f>
        <v>0.17710727402963619</v>
      </c>
      <c r="K610" s="2">
        <v>0</v>
      </c>
      <c r="L610" s="2">
        <v>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6" cm="1">
        <f t="array" ref="S610">$Y$2+MMULT(C610:R610,$Y$3:$Y$18)</f>
        <v>-1.2068720228531591</v>
      </c>
      <c r="T610" s="7">
        <f t="shared" si="19"/>
        <v>0.23025497835727476</v>
      </c>
      <c r="U610" s="3">
        <f t="shared" si="18"/>
        <v>0</v>
      </c>
    </row>
    <row r="611" spans="1:21">
      <c r="A611" s="2">
        <v>610</v>
      </c>
      <c r="B611" s="2">
        <v>1</v>
      </c>
      <c r="C611" s="8">
        <f>(data!C611-AVERAGE(data!C:C))/_xlfn.STDEV.S(data!C:C)</f>
        <v>1.6755963749986986</v>
      </c>
      <c r="D611" s="2">
        <v>1</v>
      </c>
      <c r="E611" s="2">
        <v>0</v>
      </c>
      <c r="F611" s="2">
        <v>1</v>
      </c>
      <c r="G611" s="2">
        <v>0</v>
      </c>
      <c r="H611" s="2">
        <v>0</v>
      </c>
      <c r="I611" s="2">
        <v>1</v>
      </c>
      <c r="J611" s="8">
        <f>(data!J611-AVERAGE(data!J:J))/_xlfn.STDEV.S(data!J:J)</f>
        <v>0.39843663625950276</v>
      </c>
      <c r="K611" s="2">
        <v>0</v>
      </c>
      <c r="L611" s="2">
        <v>1</v>
      </c>
      <c r="M611" s="2">
        <v>0</v>
      </c>
      <c r="N611" s="2">
        <v>1</v>
      </c>
      <c r="O611" s="2">
        <v>1</v>
      </c>
      <c r="P611" s="2">
        <v>1</v>
      </c>
      <c r="Q611" s="2">
        <v>0</v>
      </c>
      <c r="R611" s="2">
        <v>0</v>
      </c>
      <c r="S611" s="6" cm="1">
        <f t="array" ref="S611">$Y$2+MMULT(C611:R611,$Y$3:$Y$18)</f>
        <v>3.4977037542086205</v>
      </c>
      <c r="T611" s="7">
        <f t="shared" si="19"/>
        <v>0.97062236344949049</v>
      </c>
      <c r="U611" s="3">
        <f t="shared" si="18"/>
        <v>1</v>
      </c>
    </row>
    <row r="612" spans="1:21">
      <c r="A612" s="2">
        <v>611</v>
      </c>
      <c r="B612" s="2">
        <v>0</v>
      </c>
      <c r="C612" s="8">
        <f>(data!C612-AVERAGE(data!C:C))/_xlfn.STDEV.S(data!C:C)</f>
        <v>-1.1806513677372095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8">
        <f>(data!J612-AVERAGE(data!J:J))/_xlfn.STDEV.S(data!J:J)</f>
        <v>-0.26555145043009704</v>
      </c>
      <c r="K612" s="2">
        <v>0</v>
      </c>
      <c r="L612" s="2">
        <v>1</v>
      </c>
      <c r="M612" s="2">
        <v>0</v>
      </c>
      <c r="N612" s="2">
        <v>1</v>
      </c>
      <c r="O612" s="2">
        <v>0</v>
      </c>
      <c r="P612" s="2">
        <v>1</v>
      </c>
      <c r="Q612" s="2">
        <v>0</v>
      </c>
      <c r="R612" s="2">
        <v>0</v>
      </c>
      <c r="S612" s="6" cm="1">
        <f t="array" ref="S612">$Y$2+MMULT(C612:R612,$Y$3:$Y$18)</f>
        <v>-16.043958619178021</v>
      </c>
      <c r="T612" s="7">
        <f t="shared" si="19"/>
        <v>1.0769542563771997E-7</v>
      </c>
      <c r="U612" s="3">
        <f t="shared" si="18"/>
        <v>0</v>
      </c>
    </row>
    <row r="613" spans="1:21">
      <c r="A613" s="2">
        <v>612</v>
      </c>
      <c r="B613" s="2">
        <v>0</v>
      </c>
      <c r="C613" s="8">
        <f>(data!C613-AVERAGE(data!C:C))/_xlfn.STDEV.S(data!C:C)</f>
        <v>1.0875453691413057</v>
      </c>
      <c r="D613" s="2">
        <v>0</v>
      </c>
      <c r="E613" s="2">
        <v>1</v>
      </c>
      <c r="F613" s="2">
        <v>1</v>
      </c>
      <c r="G613" s="2">
        <v>1</v>
      </c>
      <c r="H613" s="2">
        <v>0</v>
      </c>
      <c r="I613" s="2">
        <v>0</v>
      </c>
      <c r="J613" s="8">
        <f>(data!J613-AVERAGE(data!J:J))/_xlfn.STDEV.S(data!J:J)</f>
        <v>1.8001892637153245</v>
      </c>
      <c r="K613" s="2">
        <v>0</v>
      </c>
      <c r="L613" s="2">
        <v>0</v>
      </c>
      <c r="M613" s="2">
        <v>1</v>
      </c>
      <c r="N613" s="2">
        <v>1</v>
      </c>
      <c r="O613" s="2">
        <v>0</v>
      </c>
      <c r="P613" s="2">
        <v>1</v>
      </c>
      <c r="Q613" s="2">
        <v>0</v>
      </c>
      <c r="R613" s="2">
        <v>1</v>
      </c>
      <c r="S613" s="6" cm="1">
        <f t="array" ref="S613">$Y$2+MMULT(C613:R613,$Y$3:$Y$18)</f>
        <v>-0.21140062706146612</v>
      </c>
      <c r="T613" s="7">
        <f t="shared" si="19"/>
        <v>0.4473457913682109</v>
      </c>
      <c r="U613" s="3">
        <f t="shared" si="18"/>
        <v>0</v>
      </c>
    </row>
    <row r="614" spans="1:21">
      <c r="A614" s="2">
        <v>613</v>
      </c>
      <c r="B614" s="2">
        <v>0</v>
      </c>
      <c r="C614" s="8">
        <f>(data!C614-AVERAGE(data!C:C))/_xlfn.STDEV.S(data!C:C)</f>
        <v>0.28947614690627266</v>
      </c>
      <c r="D614" s="2">
        <v>0</v>
      </c>
      <c r="E614" s="2">
        <v>1</v>
      </c>
      <c r="F614" s="2">
        <v>0</v>
      </c>
      <c r="G614" s="2">
        <v>0</v>
      </c>
      <c r="H614" s="2">
        <v>0</v>
      </c>
      <c r="I614" s="2">
        <v>0</v>
      </c>
      <c r="J614" s="8">
        <f>(data!J614-AVERAGE(data!J:J))/_xlfn.STDEV.S(data!J:J)</f>
        <v>2.9068360748646578</v>
      </c>
      <c r="K614" s="2">
        <v>0</v>
      </c>
      <c r="L614" s="2">
        <v>0</v>
      </c>
      <c r="M614" s="2">
        <v>1</v>
      </c>
      <c r="N614" s="2">
        <v>1</v>
      </c>
      <c r="O614" s="2">
        <v>1</v>
      </c>
      <c r="P614" s="2">
        <v>1</v>
      </c>
      <c r="Q614" s="2">
        <v>0</v>
      </c>
      <c r="R614" s="2">
        <v>0</v>
      </c>
      <c r="S614" s="6" cm="1">
        <f t="array" ref="S614">$Y$2+MMULT(C614:R614,$Y$3:$Y$18)</f>
        <v>-1.4886330974417405</v>
      </c>
      <c r="T614" s="7">
        <f t="shared" si="19"/>
        <v>0.18412698065786481</v>
      </c>
      <c r="U614" s="3">
        <f t="shared" si="18"/>
        <v>0</v>
      </c>
    </row>
    <row r="615" spans="1:21">
      <c r="A615" s="2">
        <v>614</v>
      </c>
      <c r="B615" s="2">
        <v>0</v>
      </c>
      <c r="C615" s="8">
        <f>(data!C615-AVERAGE(data!C:C))/_xlfn.STDEV.S(data!C:C)</f>
        <v>-0.21456757240006402</v>
      </c>
      <c r="D615" s="2">
        <v>1</v>
      </c>
      <c r="E615" s="2">
        <v>1</v>
      </c>
      <c r="F615" s="2">
        <v>0</v>
      </c>
      <c r="G615" s="2">
        <v>1</v>
      </c>
      <c r="H615" s="2">
        <v>0</v>
      </c>
      <c r="I615" s="2">
        <v>0</v>
      </c>
      <c r="J615" s="8">
        <f>(data!J615-AVERAGE(data!J:J))/_xlfn.STDEV.S(data!J:J)</f>
        <v>0.10333081995301398</v>
      </c>
      <c r="K615" s="2">
        <v>1</v>
      </c>
      <c r="L615" s="2">
        <v>1</v>
      </c>
      <c r="M615" s="2">
        <v>0</v>
      </c>
      <c r="N615" s="2">
        <v>0</v>
      </c>
      <c r="O615" s="2">
        <v>1</v>
      </c>
      <c r="P615" s="2">
        <v>1</v>
      </c>
      <c r="Q615" s="2">
        <v>0</v>
      </c>
      <c r="R615" s="2">
        <v>1</v>
      </c>
      <c r="S615" s="6" cm="1">
        <f t="array" ref="S615">$Y$2+MMULT(C615:R615,$Y$3:$Y$18)</f>
        <v>-8.1255433926223137</v>
      </c>
      <c r="T615" s="7">
        <f t="shared" si="19"/>
        <v>2.9579638384492988E-4</v>
      </c>
      <c r="U615" s="3">
        <f t="shared" si="18"/>
        <v>0</v>
      </c>
    </row>
    <row r="616" spans="1:21">
      <c r="A616" s="2">
        <v>615</v>
      </c>
      <c r="B616" s="2">
        <v>1</v>
      </c>
      <c r="C616" s="8">
        <f>(data!C616-AVERAGE(data!C:C))/_xlfn.STDEV.S(data!C:C)</f>
        <v>1.0035380825902496</v>
      </c>
      <c r="D616" s="2">
        <v>1</v>
      </c>
      <c r="E616" s="2">
        <v>1</v>
      </c>
      <c r="F616" s="2">
        <v>0</v>
      </c>
      <c r="G616" s="2">
        <v>0</v>
      </c>
      <c r="H616" s="2">
        <v>0</v>
      </c>
      <c r="I616" s="2">
        <v>0</v>
      </c>
      <c r="J616" s="8">
        <f>(data!J616-AVERAGE(data!J:J))/_xlfn.STDEV.S(data!J:J)</f>
        <v>1.2837540851789693</v>
      </c>
      <c r="K616" s="2">
        <v>0</v>
      </c>
      <c r="L616" s="2">
        <v>1</v>
      </c>
      <c r="M616" s="2">
        <v>1</v>
      </c>
      <c r="N616" s="2">
        <v>1</v>
      </c>
      <c r="O616" s="2">
        <v>1</v>
      </c>
      <c r="P616" s="2">
        <v>1</v>
      </c>
      <c r="Q616" s="2">
        <v>0</v>
      </c>
      <c r="R616" s="2">
        <v>0</v>
      </c>
      <c r="S616" s="6" cm="1">
        <f t="array" ref="S616">$Y$2+MMULT(C616:R616,$Y$3:$Y$18)</f>
        <v>1.1471442879386657</v>
      </c>
      <c r="T616" s="7">
        <f t="shared" si="19"/>
        <v>0.75898892298947029</v>
      </c>
      <c r="U616" s="3">
        <f t="shared" si="18"/>
        <v>1</v>
      </c>
    </row>
    <row r="617" spans="1:21">
      <c r="A617" s="2">
        <v>616</v>
      </c>
      <c r="B617" s="2">
        <v>0</v>
      </c>
      <c r="C617" s="8">
        <f>(data!C617-AVERAGE(data!C:C))/_xlfn.STDEV.S(data!C:C)</f>
        <v>0.12146157380416044</v>
      </c>
      <c r="D617" s="2">
        <v>0</v>
      </c>
      <c r="E617" s="2">
        <v>0</v>
      </c>
      <c r="F617" s="2">
        <v>1</v>
      </c>
      <c r="G617" s="2">
        <v>1</v>
      </c>
      <c r="H617" s="2">
        <v>0</v>
      </c>
      <c r="I617" s="2">
        <v>0</v>
      </c>
      <c r="J617" s="8">
        <f>(data!J617-AVERAGE(data!J:J))/_xlfn.STDEV.S(data!J:J)</f>
        <v>-1.0770924452729411</v>
      </c>
      <c r="K617" s="2">
        <v>0</v>
      </c>
      <c r="L617" s="2">
        <v>0</v>
      </c>
      <c r="M617" s="2">
        <v>0</v>
      </c>
      <c r="N617" s="2">
        <v>0</v>
      </c>
      <c r="O617" s="2">
        <v>1</v>
      </c>
      <c r="P617" s="2">
        <v>1</v>
      </c>
      <c r="Q617" s="2">
        <v>0</v>
      </c>
      <c r="R617" s="2">
        <v>1</v>
      </c>
      <c r="S617" s="6" cm="1">
        <f t="array" ref="S617">$Y$2+MMULT(C617:R617,$Y$3:$Y$18)</f>
        <v>-6.8844663065563871</v>
      </c>
      <c r="T617" s="7">
        <f t="shared" si="19"/>
        <v>1.0225156696212435E-3</v>
      </c>
      <c r="U617" s="3">
        <f t="shared" si="18"/>
        <v>0</v>
      </c>
    </row>
    <row r="618" spans="1:21">
      <c r="A618" s="2">
        <v>617</v>
      </c>
      <c r="B618" s="2">
        <v>0</v>
      </c>
      <c r="C618" s="8">
        <f>(data!C618-AVERAGE(data!C:C))/_xlfn.STDEV.S(data!C:C)</f>
        <v>-0.92862950808404099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8">
        <f>(data!J618-AVERAGE(data!J:J))/_xlfn.STDEV.S(data!J:J)</f>
        <v>0.39843663625950276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0</v>
      </c>
      <c r="R618" s="2">
        <v>0</v>
      </c>
      <c r="S618" s="6" cm="1">
        <f t="array" ref="S618">$Y$2+MMULT(C618:R618,$Y$3:$Y$18)</f>
        <v>-12.849511363020984</v>
      </c>
      <c r="T618" s="7">
        <f t="shared" si="19"/>
        <v>2.6274047384724323E-6</v>
      </c>
      <c r="U618" s="3">
        <f t="shared" si="18"/>
        <v>0</v>
      </c>
    </row>
    <row r="619" spans="1:21">
      <c r="A619" s="2">
        <v>618</v>
      </c>
      <c r="B619" s="2">
        <v>0</v>
      </c>
      <c r="C619" s="8">
        <f>(data!C619-AVERAGE(data!C:C))/_xlfn.STDEV.S(data!C:C)</f>
        <v>-0.17256392912453597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8">
        <f>(data!J619-AVERAGE(data!J:J))/_xlfn.STDEV.S(data!J:J)</f>
        <v>0.54598954441274716</v>
      </c>
      <c r="K619" s="2">
        <v>0</v>
      </c>
      <c r="L619" s="2">
        <v>1</v>
      </c>
      <c r="M619" s="2">
        <v>0</v>
      </c>
      <c r="N619" s="2">
        <v>1</v>
      </c>
      <c r="O619" s="2">
        <v>0</v>
      </c>
      <c r="P619" s="2">
        <v>0</v>
      </c>
      <c r="Q619" s="2">
        <v>0</v>
      </c>
      <c r="R619" s="2">
        <v>1</v>
      </c>
      <c r="S619" s="6" cm="1">
        <f t="array" ref="S619">$Y$2+MMULT(C619:R619,$Y$3:$Y$18)</f>
        <v>-5.9161513186208019</v>
      </c>
      <c r="T619" s="7">
        <f t="shared" si="19"/>
        <v>2.6883080883204308E-3</v>
      </c>
      <c r="U619" s="3">
        <f t="shared" si="18"/>
        <v>0</v>
      </c>
    </row>
    <row r="620" spans="1:21">
      <c r="A620" s="2">
        <v>619</v>
      </c>
      <c r="B620" s="2">
        <v>0</v>
      </c>
      <c r="C620" s="8">
        <f>(data!C620-AVERAGE(data!C:C))/_xlfn.STDEV.S(data!C:C)</f>
        <v>-0.46658943205323239</v>
      </c>
      <c r="D620" s="2">
        <v>0</v>
      </c>
      <c r="E620" s="2">
        <v>1</v>
      </c>
      <c r="F620" s="2">
        <v>1</v>
      </c>
      <c r="G620" s="2">
        <v>0</v>
      </c>
      <c r="H620" s="2">
        <v>1</v>
      </c>
      <c r="I620" s="2">
        <v>0</v>
      </c>
      <c r="J620" s="8">
        <f>(data!J620-AVERAGE(data!J:J))/_xlfn.STDEV.S(data!J:J)</f>
        <v>0.39843663625950276</v>
      </c>
      <c r="K620" s="2">
        <v>0</v>
      </c>
      <c r="L620" s="2">
        <v>0</v>
      </c>
      <c r="M620" s="2">
        <v>1</v>
      </c>
      <c r="N620" s="2">
        <v>1</v>
      </c>
      <c r="O620" s="2">
        <v>1</v>
      </c>
      <c r="P620" s="2">
        <v>1</v>
      </c>
      <c r="Q620" s="2">
        <v>0</v>
      </c>
      <c r="R620" s="2">
        <v>0</v>
      </c>
      <c r="S620" s="6" cm="1">
        <f t="array" ref="S620">$Y$2+MMULT(C620:R620,$Y$3:$Y$18)</f>
        <v>-10.941953525276126</v>
      </c>
      <c r="T620" s="7">
        <f t="shared" si="19"/>
        <v>1.7699552078841448E-5</v>
      </c>
      <c r="U620" s="3">
        <f t="shared" si="18"/>
        <v>0</v>
      </c>
    </row>
    <row r="621" spans="1:21">
      <c r="A621" s="2">
        <v>620</v>
      </c>
      <c r="B621" s="2">
        <v>0</v>
      </c>
      <c r="C621" s="8">
        <f>(data!C621-AVERAGE(data!C:C))/_xlfn.STDEV.S(data!C:C)</f>
        <v>-4.6552999297951793E-2</v>
      </c>
      <c r="D621" s="2">
        <v>0</v>
      </c>
      <c r="E621" s="2">
        <v>0</v>
      </c>
      <c r="F621" s="2">
        <v>1</v>
      </c>
      <c r="G621" s="2">
        <v>0</v>
      </c>
      <c r="H621" s="2">
        <v>0</v>
      </c>
      <c r="I621" s="2">
        <v>0</v>
      </c>
      <c r="J621" s="8">
        <f>(data!J621-AVERAGE(data!J:J))/_xlfn.STDEV.S(data!J:J)</f>
        <v>2.9554365876391778E-2</v>
      </c>
      <c r="K621" s="2">
        <v>0</v>
      </c>
      <c r="L621" s="2">
        <v>0</v>
      </c>
      <c r="M621" s="2">
        <v>0</v>
      </c>
      <c r="N621" s="2">
        <v>1</v>
      </c>
      <c r="O621" s="2">
        <v>0</v>
      </c>
      <c r="P621" s="2">
        <v>1</v>
      </c>
      <c r="Q621" s="2">
        <v>0</v>
      </c>
      <c r="R621" s="2">
        <v>0</v>
      </c>
      <c r="S621" s="6" cm="1">
        <f t="array" ref="S621">$Y$2+MMULT(C621:R621,$Y$3:$Y$18)</f>
        <v>-8.8753329240743568</v>
      </c>
      <c r="T621" s="7">
        <f t="shared" si="19"/>
        <v>1.3977553976567733E-4</v>
      </c>
      <c r="U621" s="3">
        <f t="shared" si="18"/>
        <v>0</v>
      </c>
    </row>
    <row r="622" spans="1:21">
      <c r="A622" s="2">
        <v>621</v>
      </c>
      <c r="B622" s="2">
        <v>0</v>
      </c>
      <c r="C622" s="8">
        <f>(data!C622-AVERAGE(data!C:C))/_xlfn.STDEV.S(data!C:C)</f>
        <v>0.41548707673285684</v>
      </c>
      <c r="D622" s="2">
        <v>1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8">
        <f>(data!J622-AVERAGE(data!J:J))/_xlfn.STDEV.S(data!J:J)</f>
        <v>-0.19177499635347484</v>
      </c>
      <c r="K622" s="2">
        <v>0</v>
      </c>
      <c r="L622" s="2">
        <v>1</v>
      </c>
      <c r="M622" s="2">
        <v>1</v>
      </c>
      <c r="N622" s="2">
        <v>1</v>
      </c>
      <c r="O622" s="2">
        <v>1</v>
      </c>
      <c r="P622" s="2">
        <v>1</v>
      </c>
      <c r="Q622" s="2">
        <v>0</v>
      </c>
      <c r="R622" s="2">
        <v>0</v>
      </c>
      <c r="S622" s="6" cm="1">
        <f t="array" ref="S622">$Y$2+MMULT(C622:R622,$Y$3:$Y$18)</f>
        <v>-3.10896058399516</v>
      </c>
      <c r="T622" s="7">
        <f t="shared" si="19"/>
        <v>4.273914913469621E-2</v>
      </c>
      <c r="U622" s="3">
        <f t="shared" si="18"/>
        <v>0</v>
      </c>
    </row>
    <row r="623" spans="1:21">
      <c r="A623" s="2">
        <v>622</v>
      </c>
      <c r="B623" s="2">
        <v>0</v>
      </c>
      <c r="C623" s="8">
        <f>(data!C623-AVERAGE(data!C:C))/_xlfn.STDEV.S(data!C:C)</f>
        <v>-1.3486659408393216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8">
        <f>(data!J623-AVERAGE(data!J:J))/_xlfn.STDEV.S(data!J:J)</f>
        <v>-0.26555145043009704</v>
      </c>
      <c r="K623" s="2">
        <v>0</v>
      </c>
      <c r="L623" s="2">
        <v>1</v>
      </c>
      <c r="M623" s="2">
        <v>0</v>
      </c>
      <c r="N623" s="2">
        <v>1</v>
      </c>
      <c r="O623" s="2">
        <v>0</v>
      </c>
      <c r="P623" s="2">
        <v>1</v>
      </c>
      <c r="Q623" s="2">
        <v>0</v>
      </c>
      <c r="R623" s="2">
        <v>0</v>
      </c>
      <c r="S623" s="6" cm="1">
        <f t="array" ref="S623">$Y$2+MMULT(C623:R623,$Y$3:$Y$18)</f>
        <v>-17.045331256932769</v>
      </c>
      <c r="T623" s="7">
        <f t="shared" si="19"/>
        <v>3.9564590559280601E-8</v>
      </c>
      <c r="U623" s="3">
        <f t="shared" si="18"/>
        <v>0</v>
      </c>
    </row>
    <row r="624" spans="1:21">
      <c r="A624" s="2">
        <v>623</v>
      </c>
      <c r="B624" s="2">
        <v>0</v>
      </c>
      <c r="C624" s="8">
        <f>(data!C624-AVERAGE(data!C:C))/_xlfn.STDEV.S(data!C:C)</f>
        <v>0.24747250363074461</v>
      </c>
      <c r="D624" s="2">
        <v>1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8">
        <f>(data!J624-AVERAGE(data!J:J))/_xlfn.STDEV.S(data!J:J)</f>
        <v>-0.11799854227685262</v>
      </c>
      <c r="K624" s="2">
        <v>0</v>
      </c>
      <c r="L624" s="2">
        <v>1</v>
      </c>
      <c r="M624" s="2">
        <v>0</v>
      </c>
      <c r="N624" s="2">
        <v>1</v>
      </c>
      <c r="O624" s="2">
        <v>1</v>
      </c>
      <c r="P624" s="2">
        <v>1</v>
      </c>
      <c r="Q624" s="2">
        <v>0</v>
      </c>
      <c r="R624" s="2">
        <v>0</v>
      </c>
      <c r="S624" s="6" cm="1">
        <f t="array" ref="S624">$Y$2+MMULT(C624:R624,$Y$3:$Y$18)</f>
        <v>-5.5633044330190451</v>
      </c>
      <c r="T624" s="7">
        <f t="shared" si="19"/>
        <v>3.8214200928442864E-3</v>
      </c>
      <c r="U624" s="3">
        <f t="shared" si="18"/>
        <v>0</v>
      </c>
    </row>
    <row r="625" spans="1:21">
      <c r="A625" s="2">
        <v>624</v>
      </c>
      <c r="B625" s="2">
        <v>0</v>
      </c>
      <c r="C625" s="8">
        <f>(data!C625-AVERAGE(data!C:C))/_xlfn.STDEV.S(data!C:C)</f>
        <v>-8.8556642573479852E-2</v>
      </c>
      <c r="D625" s="2">
        <v>1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8">
        <f>(data!J625-AVERAGE(data!J:J))/_xlfn.STDEV.S(data!J:J)</f>
        <v>-1.003315991196319</v>
      </c>
      <c r="K625" s="2">
        <v>0</v>
      </c>
      <c r="L625" s="2">
        <v>1</v>
      </c>
      <c r="M625" s="2">
        <v>0</v>
      </c>
      <c r="N625" s="2">
        <v>1</v>
      </c>
      <c r="O625" s="2">
        <v>1</v>
      </c>
      <c r="P625" s="2">
        <v>1</v>
      </c>
      <c r="Q625" s="2">
        <v>0</v>
      </c>
      <c r="R625" s="2">
        <v>0</v>
      </c>
      <c r="S625" s="6" cm="1">
        <f t="array" ref="S625">$Y$2+MMULT(C625:R625,$Y$3:$Y$18)</f>
        <v>-8.091214060162045</v>
      </c>
      <c r="T625" s="7">
        <f t="shared" si="19"/>
        <v>3.0612402396497612E-4</v>
      </c>
      <c r="U625" s="3">
        <f t="shared" si="18"/>
        <v>0</v>
      </c>
    </row>
    <row r="626" spans="1:21">
      <c r="A626" s="2">
        <v>625</v>
      </c>
      <c r="B626" s="2">
        <v>1</v>
      </c>
      <c r="C626" s="8">
        <f>(data!C626-AVERAGE(data!C:C))/_xlfn.STDEV.S(data!C:C)</f>
        <v>1.6755963749986986</v>
      </c>
      <c r="D626" s="2">
        <v>0</v>
      </c>
      <c r="E626" s="2">
        <v>1</v>
      </c>
      <c r="F626" s="2">
        <v>1</v>
      </c>
      <c r="G626" s="2">
        <v>1</v>
      </c>
      <c r="H626" s="2">
        <v>0</v>
      </c>
      <c r="I626" s="2">
        <v>0</v>
      </c>
      <c r="J626" s="8">
        <f>(data!J626-AVERAGE(data!J:J))/_xlfn.STDEV.S(data!J:J)</f>
        <v>-0.33932790450671924</v>
      </c>
      <c r="K626" s="2">
        <v>0</v>
      </c>
      <c r="L626" s="2">
        <v>1</v>
      </c>
      <c r="M626" s="2">
        <v>1</v>
      </c>
      <c r="N626" s="2">
        <v>1</v>
      </c>
      <c r="O626" s="2">
        <v>0</v>
      </c>
      <c r="P626" s="2">
        <v>1</v>
      </c>
      <c r="Q626" s="2">
        <v>0</v>
      </c>
      <c r="R626" s="2">
        <v>0</v>
      </c>
      <c r="S626" s="6" cm="1">
        <f t="array" ref="S626">$Y$2+MMULT(C626:R626,$Y$3:$Y$18)</f>
        <v>0.96848897322965399</v>
      </c>
      <c r="T626" s="7">
        <f t="shared" si="19"/>
        <v>0.72481821567574589</v>
      </c>
      <c r="U626" s="3">
        <f t="shared" si="18"/>
        <v>1</v>
      </c>
    </row>
    <row r="627" spans="1:21">
      <c r="A627" s="2">
        <v>626</v>
      </c>
      <c r="B627" s="2">
        <v>0</v>
      </c>
      <c r="C627" s="8">
        <f>(data!C627-AVERAGE(data!C:C))/_xlfn.STDEV.S(data!C:C)</f>
        <v>-1.2646586542882654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8">
        <f>(data!J627-AVERAGE(data!J:J))/_xlfn.STDEV.S(data!J:J)</f>
        <v>-0.78198662896645244</v>
      </c>
      <c r="K627" s="2">
        <v>0</v>
      </c>
      <c r="L627" s="2">
        <v>1</v>
      </c>
      <c r="M627" s="2">
        <v>0</v>
      </c>
      <c r="N627" s="2">
        <v>1</v>
      </c>
      <c r="O627" s="2">
        <v>1</v>
      </c>
      <c r="P627" s="2">
        <v>1</v>
      </c>
      <c r="Q627" s="2">
        <v>0</v>
      </c>
      <c r="R627" s="2">
        <v>0</v>
      </c>
      <c r="S627" s="6" cm="1">
        <f t="array" ref="S627">$Y$2+MMULT(C627:R627,$Y$3:$Y$18)</f>
        <v>-15.14870475519186</v>
      </c>
      <c r="T627" s="7">
        <f t="shared" si="19"/>
        <v>2.6363374704382742E-7</v>
      </c>
      <c r="U627" s="3">
        <f t="shared" si="18"/>
        <v>0</v>
      </c>
    </row>
    <row r="628" spans="1:21">
      <c r="A628" s="2">
        <v>627</v>
      </c>
      <c r="B628" s="2">
        <v>0</v>
      </c>
      <c r="C628" s="8">
        <f>(data!C628-AVERAGE(data!C:C))/_xlfn.STDEV.S(data!C:C)</f>
        <v>-0.63460400515534465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8">
        <f>(data!J628-AVERAGE(data!J:J))/_xlfn.STDEV.S(data!J:J)</f>
        <v>2.9554365876391778E-2</v>
      </c>
      <c r="K628" s="2">
        <v>0</v>
      </c>
      <c r="L628" s="2">
        <v>0</v>
      </c>
      <c r="M628" s="2">
        <v>0</v>
      </c>
      <c r="N628" s="2">
        <v>1</v>
      </c>
      <c r="O628" s="2">
        <v>0</v>
      </c>
      <c r="P628" s="2">
        <v>1</v>
      </c>
      <c r="Q628" s="2">
        <v>0</v>
      </c>
      <c r="R628" s="2">
        <v>0</v>
      </c>
      <c r="S628" s="6" cm="1">
        <f t="array" ref="S628">$Y$2+MMULT(C628:R628,$Y$3:$Y$18)</f>
        <v>-11.778014430193124</v>
      </c>
      <c r="T628" s="7">
        <f t="shared" si="19"/>
        <v>7.6713181340622727E-6</v>
      </c>
      <c r="U628" s="3">
        <f t="shared" si="18"/>
        <v>0</v>
      </c>
    </row>
    <row r="629" spans="1:21">
      <c r="A629" s="2">
        <v>628</v>
      </c>
      <c r="B629" s="2">
        <v>0</v>
      </c>
      <c r="C629" s="8">
        <f>(data!C629-AVERAGE(data!C:C))/_xlfn.STDEV.S(data!C:C)</f>
        <v>-0.50859307532876041</v>
      </c>
      <c r="D629" s="2">
        <v>1</v>
      </c>
      <c r="E629" s="2">
        <v>1</v>
      </c>
      <c r="F629" s="2">
        <v>0</v>
      </c>
      <c r="G629" s="2">
        <v>0</v>
      </c>
      <c r="H629" s="2">
        <v>0</v>
      </c>
      <c r="I629" s="2">
        <v>0</v>
      </c>
      <c r="J629" s="8">
        <f>(data!J629-AVERAGE(data!J:J))/_xlfn.STDEV.S(data!J:J)</f>
        <v>0.69354245256599156</v>
      </c>
      <c r="K629" s="2">
        <v>1</v>
      </c>
      <c r="L629" s="2">
        <v>1</v>
      </c>
      <c r="M629" s="2">
        <v>0</v>
      </c>
      <c r="N629" s="2">
        <v>0</v>
      </c>
      <c r="O629" s="2">
        <v>0</v>
      </c>
      <c r="P629" s="2">
        <v>1</v>
      </c>
      <c r="Q629" s="2">
        <v>0</v>
      </c>
      <c r="R629" s="2">
        <v>0</v>
      </c>
      <c r="S629" s="6" cm="1">
        <f t="array" ref="S629">$Y$2+MMULT(C629:R629,$Y$3:$Y$18)</f>
        <v>-10.711698656846906</v>
      </c>
      <c r="T629" s="7">
        <f t="shared" si="19"/>
        <v>2.2282232647561902E-5</v>
      </c>
      <c r="U629" s="3">
        <f t="shared" si="18"/>
        <v>0</v>
      </c>
    </row>
    <row r="630" spans="1:21">
      <c r="A630" s="2">
        <v>629</v>
      </c>
      <c r="B630" s="2">
        <v>0</v>
      </c>
      <c r="C630" s="8">
        <f>(data!C630-AVERAGE(data!C:C))/_xlfn.STDEV.S(data!C:C)</f>
        <v>-0.46658943205323239</v>
      </c>
      <c r="D630" s="2">
        <v>0</v>
      </c>
      <c r="E630" s="2">
        <v>0</v>
      </c>
      <c r="F630" s="2">
        <v>0</v>
      </c>
      <c r="G630" s="2">
        <v>1</v>
      </c>
      <c r="H630" s="2">
        <v>0</v>
      </c>
      <c r="I630" s="2">
        <v>0</v>
      </c>
      <c r="J630" s="8">
        <f>(data!J630-AVERAGE(data!J:J))/_xlfn.STDEV.S(data!J:J)</f>
        <v>-0.92953953711969683</v>
      </c>
      <c r="K630" s="2">
        <v>0</v>
      </c>
      <c r="L630" s="2">
        <v>0</v>
      </c>
      <c r="M630" s="2">
        <v>0</v>
      </c>
      <c r="N630" s="2">
        <v>0</v>
      </c>
      <c r="O630" s="2">
        <v>1</v>
      </c>
      <c r="P630" s="2">
        <v>1</v>
      </c>
      <c r="Q630" s="2">
        <v>0</v>
      </c>
      <c r="R630" s="2">
        <v>0</v>
      </c>
      <c r="S630" s="6" cm="1">
        <f t="array" ref="S630">$Y$2+MMULT(C630:R630,$Y$3:$Y$18)</f>
        <v>-9.9189595370682788</v>
      </c>
      <c r="T630" s="7">
        <f t="shared" si="19"/>
        <v>4.9229930880300129E-5</v>
      </c>
      <c r="U630" s="3">
        <f t="shared" si="18"/>
        <v>0</v>
      </c>
    </row>
    <row r="631" spans="1:21">
      <c r="A631" s="2">
        <v>630</v>
      </c>
      <c r="B631" s="2">
        <v>0</v>
      </c>
      <c r="C631" s="8">
        <f>(data!C631-AVERAGE(data!C:C))/_xlfn.STDEV.S(data!C:C)</f>
        <v>-0.21456757240006402</v>
      </c>
      <c r="D631" s="2">
        <v>0</v>
      </c>
      <c r="E631" s="2">
        <v>1</v>
      </c>
      <c r="F631" s="2">
        <v>0</v>
      </c>
      <c r="G631" s="2">
        <v>0</v>
      </c>
      <c r="H631" s="2">
        <v>0</v>
      </c>
      <c r="I631" s="2">
        <v>0</v>
      </c>
      <c r="J631" s="8">
        <f>(data!J631-AVERAGE(data!J:J))/_xlfn.STDEV.S(data!J:J)</f>
        <v>-0.33932790450671924</v>
      </c>
      <c r="K631" s="2">
        <v>1</v>
      </c>
      <c r="L631" s="2">
        <v>0</v>
      </c>
      <c r="M631" s="2">
        <v>0</v>
      </c>
      <c r="N631" s="2">
        <v>0</v>
      </c>
      <c r="O631" s="2">
        <v>1</v>
      </c>
      <c r="P631" s="2">
        <v>1</v>
      </c>
      <c r="Q631" s="2">
        <v>0</v>
      </c>
      <c r="R631" s="2">
        <v>0</v>
      </c>
      <c r="S631" s="6" cm="1">
        <f t="array" ref="S631">$Y$2+MMULT(C631:R631,$Y$3:$Y$18)</f>
        <v>-7.2124472159496094</v>
      </c>
      <c r="T631" s="7">
        <f t="shared" si="19"/>
        <v>7.3680720468154398E-4</v>
      </c>
      <c r="U631" s="3">
        <f t="shared" si="18"/>
        <v>0</v>
      </c>
    </row>
    <row r="632" spans="1:21">
      <c r="A632" s="2">
        <v>631</v>
      </c>
      <c r="B632" s="2">
        <v>0</v>
      </c>
      <c r="C632" s="8">
        <f>(data!C632-AVERAGE(data!C:C))/_xlfn.STDEV.S(data!C:C)</f>
        <v>-0.7186112917064007</v>
      </c>
      <c r="D632" s="2">
        <v>1</v>
      </c>
      <c r="E632" s="2">
        <v>1</v>
      </c>
      <c r="F632" s="2">
        <v>0</v>
      </c>
      <c r="G632" s="2">
        <v>0</v>
      </c>
      <c r="H632" s="2">
        <v>0</v>
      </c>
      <c r="I632" s="2">
        <v>0</v>
      </c>
      <c r="J632" s="8">
        <f>(data!J632-AVERAGE(data!J:J))/_xlfn.STDEV.S(data!J:J)</f>
        <v>-1.003315991196319</v>
      </c>
      <c r="K632" s="2">
        <v>1</v>
      </c>
      <c r="L632" s="2">
        <v>1</v>
      </c>
      <c r="M632" s="2">
        <v>0</v>
      </c>
      <c r="N632" s="2">
        <v>0</v>
      </c>
      <c r="O632" s="2">
        <v>0</v>
      </c>
      <c r="P632" s="2">
        <v>1</v>
      </c>
      <c r="Q632" s="2">
        <v>0</v>
      </c>
      <c r="R632" s="2">
        <v>0</v>
      </c>
      <c r="S632" s="6" cm="1">
        <f t="array" ref="S632">$Y$2+MMULT(C632:R632,$Y$3:$Y$18)</f>
        <v>-12.969979461337893</v>
      </c>
      <c r="T632" s="7">
        <f t="shared" si="19"/>
        <v>2.3292090988832439E-6</v>
      </c>
      <c r="U632" s="3">
        <f t="shared" si="18"/>
        <v>0</v>
      </c>
    </row>
    <row r="633" spans="1:21">
      <c r="A633" s="2">
        <v>632</v>
      </c>
      <c r="B633" s="2">
        <v>0</v>
      </c>
      <c r="C633" s="8">
        <f>(data!C633-AVERAGE(data!C:C))/_xlfn.STDEV.S(data!C:C)</f>
        <v>-0.67660764843087262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8">
        <f>(data!J633-AVERAGE(data!J:J))/_xlfn.STDEV.S(data!J:J)</f>
        <v>0.76731890664261382</v>
      </c>
      <c r="K633" s="2">
        <v>0</v>
      </c>
      <c r="L633" s="2">
        <v>0</v>
      </c>
      <c r="M633" s="2">
        <v>0</v>
      </c>
      <c r="N633" s="2">
        <v>0</v>
      </c>
      <c r="O633" s="2">
        <v>1</v>
      </c>
      <c r="P633" s="2">
        <v>1</v>
      </c>
      <c r="Q633" s="2">
        <v>0</v>
      </c>
      <c r="R633" s="2">
        <v>0</v>
      </c>
      <c r="S633" s="6" cm="1">
        <f t="array" ref="S633">$Y$2+MMULT(C633:R633,$Y$3:$Y$18)</f>
        <v>-9.4263478718918208</v>
      </c>
      <c r="T633" s="7">
        <f t="shared" si="19"/>
        <v>8.0566434421584711E-5</v>
      </c>
      <c r="U633" s="3">
        <f t="shared" si="18"/>
        <v>0</v>
      </c>
    </row>
    <row r="634" spans="1:21">
      <c r="A634" s="2">
        <v>633</v>
      </c>
      <c r="B634" s="2">
        <v>0</v>
      </c>
      <c r="C634" s="8">
        <f>(data!C634-AVERAGE(data!C:C))/_xlfn.STDEV.S(data!C:C)</f>
        <v>-0.34057850222664821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8">
        <f>(data!J634-AVERAGE(data!J:J))/_xlfn.STDEV.S(data!J:J)</f>
        <v>2.9554365876391778E-2</v>
      </c>
      <c r="K634" s="2">
        <v>0</v>
      </c>
      <c r="L634" s="2">
        <v>0</v>
      </c>
      <c r="M634" s="2">
        <v>0</v>
      </c>
      <c r="N634" s="2">
        <v>1</v>
      </c>
      <c r="O634" s="2">
        <v>1</v>
      </c>
      <c r="P634" s="2">
        <v>1</v>
      </c>
      <c r="Q634" s="2">
        <v>0</v>
      </c>
      <c r="R634" s="2">
        <v>0</v>
      </c>
      <c r="S634" s="6" cm="1">
        <f t="array" ref="S634">$Y$2+MMULT(C634:R634,$Y$3:$Y$18)</f>
        <v>-8.1441529408175999</v>
      </c>
      <c r="T634" s="7">
        <f t="shared" si="19"/>
        <v>2.9034423339767304E-4</v>
      </c>
      <c r="U634" s="3">
        <f t="shared" si="18"/>
        <v>0</v>
      </c>
    </row>
    <row r="635" spans="1:21">
      <c r="A635" s="2">
        <v>634</v>
      </c>
      <c r="B635" s="2">
        <v>0</v>
      </c>
      <c r="C635" s="8">
        <f>(data!C635-AVERAGE(data!C:C))/_xlfn.STDEV.S(data!C:C)</f>
        <v>-1.0546404379106251</v>
      </c>
      <c r="D635" s="2">
        <v>0</v>
      </c>
      <c r="E635" s="2">
        <v>0</v>
      </c>
      <c r="F635" s="2">
        <v>1</v>
      </c>
      <c r="G635" s="2">
        <v>1</v>
      </c>
      <c r="H635" s="2">
        <v>0</v>
      </c>
      <c r="I635" s="2">
        <v>0</v>
      </c>
      <c r="J635" s="8">
        <f>(data!J635-AVERAGE(data!J:J))/_xlfn.STDEV.S(data!J:J)</f>
        <v>-0.78198662896645244</v>
      </c>
      <c r="K635" s="2">
        <v>0</v>
      </c>
      <c r="L635" s="2">
        <v>1</v>
      </c>
      <c r="M635" s="2">
        <v>0</v>
      </c>
      <c r="N635" s="2">
        <v>1</v>
      </c>
      <c r="O635" s="2">
        <v>0</v>
      </c>
      <c r="P635" s="2">
        <v>0</v>
      </c>
      <c r="Q635" s="2">
        <v>0</v>
      </c>
      <c r="R635" s="2">
        <v>0</v>
      </c>
      <c r="S635" s="6" cm="1">
        <f t="array" ref="S635">$Y$2+MMULT(C635:R635,$Y$3:$Y$18)</f>
        <v>-13.520328491710698</v>
      </c>
      <c r="T635" s="7">
        <f t="shared" si="19"/>
        <v>1.3433691142898889E-6</v>
      </c>
      <c r="U635" s="3">
        <f t="shared" si="18"/>
        <v>0</v>
      </c>
    </row>
    <row r="636" spans="1:21">
      <c r="A636" s="2">
        <v>635</v>
      </c>
      <c r="B636" s="2">
        <v>0</v>
      </c>
      <c r="C636" s="8">
        <f>(data!C636-AVERAGE(data!C:C))/_xlfn.STDEV.S(data!C:C)</f>
        <v>0.45749072000838492</v>
      </c>
      <c r="D636" s="2">
        <v>0</v>
      </c>
      <c r="E636" s="2">
        <v>0</v>
      </c>
      <c r="F636" s="2">
        <v>1</v>
      </c>
      <c r="G636" s="2">
        <v>1</v>
      </c>
      <c r="H636" s="2">
        <v>0</v>
      </c>
      <c r="I636" s="2">
        <v>0</v>
      </c>
      <c r="J636" s="8">
        <f>(data!J636-AVERAGE(data!J:J))/_xlfn.STDEV.S(data!J:J)</f>
        <v>-1.0770924452729411</v>
      </c>
      <c r="K636" s="2">
        <v>0</v>
      </c>
      <c r="L636" s="2">
        <v>0</v>
      </c>
      <c r="M636" s="2">
        <v>0</v>
      </c>
      <c r="N636" s="2">
        <v>0</v>
      </c>
      <c r="O636" s="2">
        <v>1</v>
      </c>
      <c r="P636" s="2">
        <v>1</v>
      </c>
      <c r="Q636" s="2">
        <v>0</v>
      </c>
      <c r="R636" s="2">
        <v>1</v>
      </c>
      <c r="S636" s="6" cm="1">
        <f t="array" ref="S636">$Y$2+MMULT(C636:R636,$Y$3:$Y$18)</f>
        <v>-4.8817210310468955</v>
      </c>
      <c r="T636" s="7">
        <f t="shared" si="19"/>
        <v>7.526867186373686E-3</v>
      </c>
      <c r="U636" s="3">
        <f t="shared" si="18"/>
        <v>0</v>
      </c>
    </row>
    <row r="637" spans="1:21">
      <c r="A637" s="2">
        <v>636</v>
      </c>
      <c r="B637" s="2">
        <v>0</v>
      </c>
      <c r="C637" s="8">
        <f>(data!C637-AVERAGE(data!C:C))/_xlfn.STDEV.S(data!C:C)</f>
        <v>-0.34057850222664821</v>
      </c>
      <c r="D637" s="2">
        <v>1</v>
      </c>
      <c r="E637" s="2">
        <v>0</v>
      </c>
      <c r="F637" s="2">
        <v>0</v>
      </c>
      <c r="G637" s="2">
        <v>1</v>
      </c>
      <c r="H637" s="2">
        <v>0</v>
      </c>
      <c r="I637" s="2">
        <v>0</v>
      </c>
      <c r="J637" s="8">
        <f>(data!J637-AVERAGE(data!J:J))/_xlfn.STDEV.S(data!J:J)</f>
        <v>-0.70821017488983018</v>
      </c>
      <c r="K637" s="2">
        <v>0</v>
      </c>
      <c r="L637" s="2">
        <v>0</v>
      </c>
      <c r="M637" s="2">
        <v>0</v>
      </c>
      <c r="N637" s="2">
        <v>0</v>
      </c>
      <c r="O637" s="2">
        <v>1</v>
      </c>
      <c r="P637" s="2">
        <v>1</v>
      </c>
      <c r="Q637" s="2">
        <v>0</v>
      </c>
      <c r="R637" s="2">
        <v>0</v>
      </c>
      <c r="S637" s="6" cm="1">
        <f t="array" ref="S637">$Y$2+MMULT(C637:R637,$Y$3:$Y$18)</f>
        <v>-8.8574656521888713</v>
      </c>
      <c r="T637" s="7">
        <f t="shared" si="19"/>
        <v>1.4229503317939466E-4</v>
      </c>
      <c r="U637" s="3">
        <f t="shared" si="18"/>
        <v>0</v>
      </c>
    </row>
    <row r="638" spans="1:21">
      <c r="A638" s="2">
        <v>637</v>
      </c>
      <c r="B638" s="2">
        <v>0</v>
      </c>
      <c r="C638" s="8">
        <f>(data!C638-AVERAGE(data!C:C))/_xlfn.STDEV.S(data!C:C)</f>
        <v>-0.2565712156755921</v>
      </c>
      <c r="D638" s="2">
        <v>0</v>
      </c>
      <c r="E638" s="2">
        <v>1</v>
      </c>
      <c r="F638" s="2">
        <v>0</v>
      </c>
      <c r="G638" s="2">
        <v>0</v>
      </c>
      <c r="H638" s="2">
        <v>1</v>
      </c>
      <c r="I638" s="2">
        <v>0</v>
      </c>
      <c r="J638" s="8">
        <f>(data!J638-AVERAGE(data!J:J))/_xlfn.STDEV.S(data!J:J)</f>
        <v>0.10333081995301398</v>
      </c>
      <c r="K638" s="2">
        <v>0</v>
      </c>
      <c r="L638" s="2">
        <v>0</v>
      </c>
      <c r="M638" s="2">
        <v>1</v>
      </c>
      <c r="N638" s="2">
        <v>1</v>
      </c>
      <c r="O638" s="2">
        <v>1</v>
      </c>
      <c r="P638" s="2">
        <v>1</v>
      </c>
      <c r="Q638" s="2">
        <v>0</v>
      </c>
      <c r="R638" s="2">
        <v>0</v>
      </c>
      <c r="S638" s="6" cm="1">
        <f t="array" ref="S638">$Y$2+MMULT(C638:R638,$Y$3:$Y$18)</f>
        <v>-9.263169785937686</v>
      </c>
      <c r="T638" s="7">
        <f t="shared" si="19"/>
        <v>9.484518420487598E-5</v>
      </c>
      <c r="U638" s="3">
        <f t="shared" si="18"/>
        <v>0</v>
      </c>
    </row>
    <row r="639" spans="1:21">
      <c r="A639" s="2">
        <v>638</v>
      </c>
      <c r="B639" s="2">
        <v>0</v>
      </c>
      <c r="C639" s="8">
        <f>(data!C639-AVERAGE(data!C:C))/_xlfn.STDEV.S(data!C:C)</f>
        <v>-4.5493560224237357E-3</v>
      </c>
      <c r="D639" s="2">
        <v>1</v>
      </c>
      <c r="E639" s="2">
        <v>1</v>
      </c>
      <c r="F639" s="2">
        <v>0</v>
      </c>
      <c r="G639" s="2">
        <v>0</v>
      </c>
      <c r="H639" s="2">
        <v>0</v>
      </c>
      <c r="I639" s="2">
        <v>0</v>
      </c>
      <c r="J639" s="8">
        <f>(data!J639-AVERAGE(data!J:J))/_xlfn.STDEV.S(data!J:J)</f>
        <v>0.54598954441274716</v>
      </c>
      <c r="K639" s="2">
        <v>0</v>
      </c>
      <c r="L639" s="2">
        <v>1</v>
      </c>
      <c r="M639" s="2">
        <v>0</v>
      </c>
      <c r="N639" s="2">
        <v>0</v>
      </c>
      <c r="O639" s="2">
        <v>1</v>
      </c>
      <c r="P639" s="2">
        <v>1</v>
      </c>
      <c r="Q639" s="2">
        <v>0</v>
      </c>
      <c r="R639" s="2">
        <v>0</v>
      </c>
      <c r="S639" s="6" cm="1">
        <f t="array" ref="S639">$Y$2+MMULT(C639:R639,$Y$3:$Y$18)</f>
        <v>-6.3333767021273459</v>
      </c>
      <c r="T639" s="7">
        <f t="shared" si="19"/>
        <v>1.7728778418720573E-3</v>
      </c>
      <c r="U639" s="3">
        <f t="shared" si="18"/>
        <v>0</v>
      </c>
    </row>
    <row r="640" spans="1:21">
      <c r="A640" s="2">
        <v>639</v>
      </c>
      <c r="B640" s="2">
        <v>1</v>
      </c>
      <c r="C640" s="8">
        <f>(data!C640-AVERAGE(data!C:C))/_xlfn.STDEV.S(data!C:C)</f>
        <v>1.6755963749986986</v>
      </c>
      <c r="D640" s="2">
        <v>1</v>
      </c>
      <c r="E640" s="2">
        <v>1</v>
      </c>
      <c r="F640" s="2">
        <v>0</v>
      </c>
      <c r="G640" s="2">
        <v>0</v>
      </c>
      <c r="H640" s="2">
        <v>0</v>
      </c>
      <c r="I640" s="2">
        <v>0</v>
      </c>
      <c r="J640" s="8">
        <f>(data!J640-AVERAGE(data!J:J))/_xlfn.STDEV.S(data!J:J)</f>
        <v>0.47221309033612496</v>
      </c>
      <c r="K640" s="2">
        <v>1</v>
      </c>
      <c r="L640" s="2">
        <v>0</v>
      </c>
      <c r="M640" s="2">
        <v>1</v>
      </c>
      <c r="N640" s="2">
        <v>1</v>
      </c>
      <c r="O640" s="2">
        <v>0</v>
      </c>
      <c r="P640" s="2">
        <v>1</v>
      </c>
      <c r="Q640" s="2">
        <v>1</v>
      </c>
      <c r="R640" s="2">
        <v>0</v>
      </c>
      <c r="S640" s="6" cm="1">
        <f t="array" ref="S640">$Y$2+MMULT(C640:R640,$Y$3:$Y$18)</f>
        <v>5.0338188105864852</v>
      </c>
      <c r="T640" s="7">
        <f t="shared" si="19"/>
        <v>0.9935282684231288</v>
      </c>
      <c r="U640" s="3">
        <f t="shared" si="18"/>
        <v>1</v>
      </c>
    </row>
    <row r="641" spans="1:21">
      <c r="A641" s="2">
        <v>640</v>
      </c>
      <c r="B641" s="2">
        <v>0</v>
      </c>
      <c r="C641" s="8">
        <f>(data!C641-AVERAGE(data!C:C))/_xlfn.STDEV.S(data!C:C)</f>
        <v>7.9457930528632384E-2</v>
      </c>
      <c r="D641" s="2">
        <v>1</v>
      </c>
      <c r="E641" s="2">
        <v>0</v>
      </c>
      <c r="F641" s="2">
        <v>1</v>
      </c>
      <c r="G641" s="2">
        <v>1</v>
      </c>
      <c r="H641" s="2">
        <v>0</v>
      </c>
      <c r="I641" s="2">
        <v>0</v>
      </c>
      <c r="J641" s="8">
        <f>(data!J641-AVERAGE(data!J:J))/_xlfn.STDEV.S(data!J:J)</f>
        <v>-0.48688081265996364</v>
      </c>
      <c r="K641" s="2">
        <v>0</v>
      </c>
      <c r="L641" s="2">
        <v>0</v>
      </c>
      <c r="M641" s="2">
        <v>0</v>
      </c>
      <c r="N641" s="2">
        <v>0</v>
      </c>
      <c r="O641" s="2">
        <v>1</v>
      </c>
      <c r="P641" s="2">
        <v>1</v>
      </c>
      <c r="Q641" s="2">
        <v>0</v>
      </c>
      <c r="R641" s="2">
        <v>0</v>
      </c>
      <c r="S641" s="6" cm="1">
        <f t="array" ref="S641">$Y$2+MMULT(C641:R641,$Y$3:$Y$18)</f>
        <v>-6.8248656959164737</v>
      </c>
      <c r="T641" s="7">
        <f t="shared" si="19"/>
        <v>1.085242811061556E-3</v>
      </c>
      <c r="U641" s="3">
        <f t="shared" si="18"/>
        <v>0</v>
      </c>
    </row>
    <row r="642" spans="1:21">
      <c r="A642" s="2">
        <v>641</v>
      </c>
      <c r="B642" s="2">
        <v>0</v>
      </c>
      <c r="C642" s="8">
        <f>(data!C642-AVERAGE(data!C:C))/_xlfn.STDEV.S(data!C:C)</f>
        <v>-0.29857485895112013</v>
      </c>
      <c r="D642" s="2">
        <v>1</v>
      </c>
      <c r="E642" s="2">
        <v>0</v>
      </c>
      <c r="F642" s="2">
        <v>0</v>
      </c>
      <c r="G642" s="2">
        <v>0</v>
      </c>
      <c r="H642" s="2">
        <v>1</v>
      </c>
      <c r="I642" s="2">
        <v>0</v>
      </c>
      <c r="J642" s="8">
        <f>(data!J642-AVERAGE(data!J:J))/_xlfn.STDEV.S(data!J:J)</f>
        <v>-0.26555145043009704</v>
      </c>
      <c r="K642" s="2">
        <v>0</v>
      </c>
      <c r="L642" s="2">
        <v>0</v>
      </c>
      <c r="M642" s="2">
        <v>1</v>
      </c>
      <c r="N642" s="2">
        <v>1</v>
      </c>
      <c r="O642" s="2">
        <v>1</v>
      </c>
      <c r="P642" s="2">
        <v>1</v>
      </c>
      <c r="Q642" s="2">
        <v>0</v>
      </c>
      <c r="R642" s="2">
        <v>0</v>
      </c>
      <c r="S642" s="6" cm="1">
        <f t="array" ref="S642">$Y$2+MMULT(C642:R642,$Y$3:$Y$18)</f>
        <v>-9.4291848269717313</v>
      </c>
      <c r="T642" s="7">
        <f t="shared" si="19"/>
        <v>8.0338213308143517E-5</v>
      </c>
      <c r="U642" s="3">
        <f t="shared" ref="U642:U705" si="20">IF(T642&gt;=cut,1,0)</f>
        <v>0</v>
      </c>
    </row>
    <row r="643" spans="1:21">
      <c r="A643" s="2">
        <v>642</v>
      </c>
      <c r="B643" s="2">
        <v>1</v>
      </c>
      <c r="C643" s="8">
        <f>(data!C643-AVERAGE(data!C:C))/_xlfn.STDEV.S(data!C:C)</f>
        <v>1.3395672287944742</v>
      </c>
      <c r="D643" s="2">
        <v>1</v>
      </c>
      <c r="E643" s="2">
        <v>0</v>
      </c>
      <c r="F643" s="2">
        <v>0</v>
      </c>
      <c r="G643" s="2">
        <v>1</v>
      </c>
      <c r="H643" s="2">
        <v>0</v>
      </c>
      <c r="I643" s="2">
        <v>0</v>
      </c>
      <c r="J643" s="8">
        <f>(data!J643-AVERAGE(data!J:J))/_xlfn.STDEV.S(data!J:J)</f>
        <v>0.39843663625950276</v>
      </c>
      <c r="K643" s="2">
        <v>0</v>
      </c>
      <c r="L643" s="2">
        <v>0</v>
      </c>
      <c r="M643" s="2">
        <v>0</v>
      </c>
      <c r="N643" s="2">
        <v>1</v>
      </c>
      <c r="O643" s="2">
        <v>1</v>
      </c>
      <c r="P643" s="2">
        <v>1</v>
      </c>
      <c r="Q643" s="2">
        <v>0</v>
      </c>
      <c r="R643" s="2">
        <v>0</v>
      </c>
      <c r="S643" s="6" cm="1">
        <f t="array" ref="S643">$Y$2+MMULT(C643:R643,$Y$3:$Y$18)</f>
        <v>1.350629461504818</v>
      </c>
      <c r="T643" s="7">
        <f t="shared" ref="T643:T674" si="21">EXP(S643)/(1+EXP(S643))</f>
        <v>0.79423251839879816</v>
      </c>
      <c r="U643" s="3">
        <f t="shared" si="20"/>
        <v>1</v>
      </c>
    </row>
    <row r="644" spans="1:21">
      <c r="A644" s="2">
        <v>643</v>
      </c>
      <c r="B644" s="2">
        <v>1</v>
      </c>
      <c r="C644" s="8">
        <f>(data!C644-AVERAGE(data!C:C))/_xlfn.STDEV.S(data!C:C)</f>
        <v>1.6755963749986986</v>
      </c>
      <c r="D644" s="2">
        <v>0</v>
      </c>
      <c r="E644" s="2">
        <v>1</v>
      </c>
      <c r="F644" s="2">
        <v>1</v>
      </c>
      <c r="G644" s="2">
        <v>1</v>
      </c>
      <c r="H644" s="2">
        <v>0</v>
      </c>
      <c r="I644" s="2">
        <v>0</v>
      </c>
      <c r="J644" s="8">
        <f>(data!J644-AVERAGE(data!J:J))/_xlfn.STDEV.S(data!J:J)</f>
        <v>0.54598954441274716</v>
      </c>
      <c r="K644" s="2">
        <v>1</v>
      </c>
      <c r="L644" s="2">
        <v>1</v>
      </c>
      <c r="M644" s="2">
        <v>1</v>
      </c>
      <c r="N644" s="2">
        <v>1</v>
      </c>
      <c r="O644" s="2">
        <v>0</v>
      </c>
      <c r="P644" s="2">
        <v>1</v>
      </c>
      <c r="Q644" s="2">
        <v>0</v>
      </c>
      <c r="R644" s="2">
        <v>0</v>
      </c>
      <c r="S644" s="6" cm="1">
        <f t="array" ref="S644">$Y$2+MMULT(C644:R644,$Y$3:$Y$18)</f>
        <v>1.7342079461186692</v>
      </c>
      <c r="T644" s="7">
        <f t="shared" si="21"/>
        <v>0.84994987167172364</v>
      </c>
      <c r="U644" s="3">
        <f t="shared" si="20"/>
        <v>1</v>
      </c>
    </row>
    <row r="645" spans="1:21">
      <c r="A645" s="2">
        <v>644</v>
      </c>
      <c r="B645" s="2">
        <v>0</v>
      </c>
      <c r="C645" s="8">
        <f>(data!C645-AVERAGE(data!C:C))/_xlfn.STDEV.S(data!C:C)</f>
        <v>-1.1386477244616813</v>
      </c>
      <c r="D645" s="2">
        <v>1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8">
        <f>(data!J645-AVERAGE(data!J:J))/_xlfn.STDEV.S(data!J:J)</f>
        <v>0.17710727402963619</v>
      </c>
      <c r="K645" s="2">
        <v>0</v>
      </c>
      <c r="L645" s="2">
        <v>1</v>
      </c>
      <c r="M645" s="2">
        <v>0</v>
      </c>
      <c r="N645" s="2">
        <v>1</v>
      </c>
      <c r="O645" s="2">
        <v>1</v>
      </c>
      <c r="P645" s="2">
        <v>1</v>
      </c>
      <c r="Q645" s="2">
        <v>0</v>
      </c>
      <c r="R645" s="2">
        <v>0</v>
      </c>
      <c r="S645" s="6" cm="1">
        <f t="array" ref="S645">$Y$2+MMULT(C645:R645,$Y$3:$Y$18)</f>
        <v>-13.649573910617862</v>
      </c>
      <c r="T645" s="7">
        <f t="shared" si="21"/>
        <v>1.1804969180790083E-6</v>
      </c>
      <c r="U645" s="3">
        <f t="shared" si="20"/>
        <v>0</v>
      </c>
    </row>
    <row r="646" spans="1:21">
      <c r="A646" s="2">
        <v>645</v>
      </c>
      <c r="B646" s="2">
        <v>1</v>
      </c>
      <c r="C646" s="8">
        <f>(data!C646-AVERAGE(data!C:C))/_xlfn.STDEV.S(data!C:C)</f>
        <v>1.5915890884476425</v>
      </c>
      <c r="D646" s="2">
        <v>0</v>
      </c>
      <c r="E646" s="2">
        <v>1</v>
      </c>
      <c r="F646" s="2">
        <v>0</v>
      </c>
      <c r="G646" s="2">
        <v>1</v>
      </c>
      <c r="H646" s="2">
        <v>0</v>
      </c>
      <c r="I646" s="2">
        <v>0</v>
      </c>
      <c r="J646" s="8">
        <f>(data!J646-AVERAGE(data!J:J))/_xlfn.STDEV.S(data!J:J)</f>
        <v>0.32466018218288056</v>
      </c>
      <c r="K646" s="2">
        <v>1</v>
      </c>
      <c r="L646" s="2">
        <v>1</v>
      </c>
      <c r="M646" s="2">
        <v>1</v>
      </c>
      <c r="N646" s="2">
        <v>1</v>
      </c>
      <c r="O646" s="2">
        <v>0</v>
      </c>
      <c r="P646" s="2">
        <v>1</v>
      </c>
      <c r="Q646" s="2">
        <v>0</v>
      </c>
      <c r="R646" s="2">
        <v>0</v>
      </c>
      <c r="S646" s="6" cm="1">
        <f t="array" ref="S646">$Y$2+MMULT(C646:R646,$Y$3:$Y$18)</f>
        <v>1.7043532653557634</v>
      </c>
      <c r="T646" s="7">
        <f t="shared" si="21"/>
        <v>0.84610244154664449</v>
      </c>
      <c r="U646" s="3">
        <f t="shared" si="20"/>
        <v>1</v>
      </c>
    </row>
    <row r="647" spans="1:21">
      <c r="A647" s="2">
        <v>646</v>
      </c>
      <c r="B647" s="2">
        <v>0</v>
      </c>
      <c r="C647" s="8">
        <f>(data!C647-AVERAGE(data!C:C))/_xlfn.STDEV.S(data!C:C)</f>
        <v>-0.55059671860428849</v>
      </c>
      <c r="D647" s="2">
        <v>1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8">
        <f>(data!J647-AVERAGE(data!J:J))/_xlfn.STDEV.S(data!J:J)</f>
        <v>1.7264128096387024</v>
      </c>
      <c r="K647" s="2">
        <v>0</v>
      </c>
      <c r="L647" s="2">
        <v>0</v>
      </c>
      <c r="M647" s="2">
        <v>0</v>
      </c>
      <c r="N647" s="2">
        <v>0</v>
      </c>
      <c r="O647" s="2">
        <v>1</v>
      </c>
      <c r="P647" s="2">
        <v>1</v>
      </c>
      <c r="Q647" s="2">
        <v>0</v>
      </c>
      <c r="R647" s="2">
        <v>0</v>
      </c>
      <c r="S647" s="6" cm="1">
        <f t="array" ref="S647">$Y$2+MMULT(C647:R647,$Y$3:$Y$18)</f>
        <v>-7.9272170273178233</v>
      </c>
      <c r="T647" s="7">
        <f t="shared" si="21"/>
        <v>3.606589614279406E-4</v>
      </c>
      <c r="U647" s="3">
        <f t="shared" si="20"/>
        <v>0</v>
      </c>
    </row>
    <row r="648" spans="1:21">
      <c r="A648" s="2">
        <v>647</v>
      </c>
      <c r="B648" s="2">
        <v>0</v>
      </c>
      <c r="C648" s="8">
        <f>(data!C648-AVERAGE(data!C:C))/_xlfn.STDEV.S(data!C:C)</f>
        <v>-0.46658943205323239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8">
        <f>(data!J648-AVERAGE(data!J:J))/_xlfn.STDEV.S(data!J:J)</f>
        <v>-1.1508688993495635</v>
      </c>
      <c r="K648" s="2">
        <v>0</v>
      </c>
      <c r="L648" s="2">
        <v>0</v>
      </c>
      <c r="M648" s="2">
        <v>0</v>
      </c>
      <c r="N648" s="2">
        <v>0</v>
      </c>
      <c r="O648" s="2">
        <v>1</v>
      </c>
      <c r="P648" s="2">
        <v>1</v>
      </c>
      <c r="Q648" s="2">
        <v>0</v>
      </c>
      <c r="R648" s="2">
        <v>0</v>
      </c>
      <c r="S648" s="6" cm="1">
        <f t="array" ref="S648">$Y$2+MMULT(C648:R648,$Y$3:$Y$18)</f>
        <v>-9.3124881699043218</v>
      </c>
      <c r="T648" s="7">
        <f t="shared" si="21"/>
        <v>9.0281458085858361E-5</v>
      </c>
      <c r="U648" s="3">
        <f t="shared" si="20"/>
        <v>0</v>
      </c>
    </row>
    <row r="649" spans="1:21">
      <c r="A649" s="2">
        <v>648</v>
      </c>
      <c r="B649" s="2">
        <v>0</v>
      </c>
      <c r="C649" s="8">
        <f>(data!C649-AVERAGE(data!C:C))/_xlfn.STDEV.S(data!C:C)</f>
        <v>-0.29857485895112013</v>
      </c>
      <c r="D649" s="2">
        <v>1</v>
      </c>
      <c r="E649" s="2">
        <v>0</v>
      </c>
      <c r="F649" s="2">
        <v>1</v>
      </c>
      <c r="G649" s="2">
        <v>1</v>
      </c>
      <c r="H649" s="2">
        <v>0</v>
      </c>
      <c r="I649" s="2">
        <v>0</v>
      </c>
      <c r="J649" s="8">
        <f>(data!J649-AVERAGE(data!J:J))/_xlfn.STDEV.S(data!J:J)</f>
        <v>-0.56065726673658578</v>
      </c>
      <c r="K649" s="2">
        <v>0</v>
      </c>
      <c r="L649" s="2">
        <v>0</v>
      </c>
      <c r="M649" s="2">
        <v>0</v>
      </c>
      <c r="N649" s="2">
        <v>0</v>
      </c>
      <c r="O649" s="2">
        <v>1</v>
      </c>
      <c r="P649" s="2">
        <v>1</v>
      </c>
      <c r="Q649" s="2">
        <v>0</v>
      </c>
      <c r="R649" s="2">
        <v>0</v>
      </c>
      <c r="S649" s="6" cm="1">
        <f t="array" ref="S649">$Y$2+MMULT(C649:R649,$Y$3:$Y$18)</f>
        <v>-9.1217178268341108</v>
      </c>
      <c r="T649" s="7">
        <f t="shared" si="21"/>
        <v>1.092548766256045E-4</v>
      </c>
      <c r="U649" s="3">
        <f t="shared" si="20"/>
        <v>0</v>
      </c>
    </row>
    <row r="650" spans="1:21">
      <c r="A650" s="2">
        <v>649</v>
      </c>
      <c r="B650" s="2">
        <v>1</v>
      </c>
      <c r="C650" s="8">
        <f>(data!C650-AVERAGE(data!C:C))/_xlfn.STDEV.S(data!C:C)</f>
        <v>1.6755963749986986</v>
      </c>
      <c r="D650" s="2">
        <v>1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8">
        <f>(data!J650-AVERAGE(data!J:J))/_xlfn.STDEV.S(data!J:J)</f>
        <v>-0.92953953711969683</v>
      </c>
      <c r="K650" s="2">
        <v>0</v>
      </c>
      <c r="L650" s="2">
        <v>0</v>
      </c>
      <c r="M650" s="2">
        <v>0</v>
      </c>
      <c r="N650" s="2">
        <v>1</v>
      </c>
      <c r="O650" s="2">
        <v>1</v>
      </c>
      <c r="P650" s="2">
        <v>1</v>
      </c>
      <c r="Q650" s="2">
        <v>0</v>
      </c>
      <c r="R650" s="2">
        <v>0</v>
      </c>
      <c r="S650" s="6" cm="1">
        <f t="array" ref="S650">$Y$2+MMULT(C650:R650,$Y$3:$Y$18)</f>
        <v>3.3033906646363835</v>
      </c>
      <c r="T650" s="7">
        <f t="shared" si="21"/>
        <v>0.96454494746632491</v>
      </c>
      <c r="U650" s="3">
        <f t="shared" si="20"/>
        <v>1</v>
      </c>
    </row>
    <row r="651" spans="1:21">
      <c r="A651" s="2">
        <v>650</v>
      </c>
      <c r="B651" s="2">
        <v>0</v>
      </c>
      <c r="C651" s="8">
        <f>(data!C651-AVERAGE(data!C:C))/_xlfn.STDEV.S(data!C:C)</f>
        <v>-0.88662586480851291</v>
      </c>
      <c r="D651" s="2">
        <v>0</v>
      </c>
      <c r="E651" s="2">
        <v>0</v>
      </c>
      <c r="F651" s="2">
        <v>1</v>
      </c>
      <c r="G651" s="2">
        <v>1</v>
      </c>
      <c r="H651" s="2">
        <v>0</v>
      </c>
      <c r="I651" s="2">
        <v>0</v>
      </c>
      <c r="J651" s="8">
        <f>(data!J651-AVERAGE(data!J:J))/_xlfn.STDEV.S(data!J:J)</f>
        <v>-0.56065726673658578</v>
      </c>
      <c r="K651" s="2">
        <v>0</v>
      </c>
      <c r="L651" s="2">
        <v>0</v>
      </c>
      <c r="M651" s="2">
        <v>0</v>
      </c>
      <c r="N651" s="2">
        <v>0</v>
      </c>
      <c r="O651" s="2">
        <v>1</v>
      </c>
      <c r="P651" s="2">
        <v>1</v>
      </c>
      <c r="Q651" s="2">
        <v>0</v>
      </c>
      <c r="R651" s="2">
        <v>0</v>
      </c>
      <c r="S651" s="6" cm="1">
        <f t="array" ref="S651">$Y$2+MMULT(C651:R651,$Y$3:$Y$18)</f>
        <v>-12.805695377630693</v>
      </c>
      <c r="T651" s="7">
        <f t="shared" si="21"/>
        <v>2.7450860853245555E-6</v>
      </c>
      <c r="U651" s="3">
        <f t="shared" si="20"/>
        <v>0</v>
      </c>
    </row>
    <row r="652" spans="1:21">
      <c r="A652" s="2">
        <v>651</v>
      </c>
      <c r="B652" s="2">
        <v>0</v>
      </c>
      <c r="C652" s="8">
        <f>(data!C652-AVERAGE(data!C:C))/_xlfn.STDEV.S(data!C:C)</f>
        <v>0.49949436328391295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8">
        <f>(data!J652-AVERAGE(data!J:J))/_xlfn.STDEV.S(data!J:J)</f>
        <v>-0.56065726673658578</v>
      </c>
      <c r="K652" s="2">
        <v>0</v>
      </c>
      <c r="L652" s="2">
        <v>0</v>
      </c>
      <c r="M652" s="2">
        <v>0</v>
      </c>
      <c r="N652" s="2">
        <v>1</v>
      </c>
      <c r="O652" s="2">
        <v>1</v>
      </c>
      <c r="P652" s="2">
        <v>1</v>
      </c>
      <c r="Q652" s="2">
        <v>0</v>
      </c>
      <c r="R652" s="2">
        <v>0</v>
      </c>
      <c r="S652" s="6" cm="1">
        <f t="array" ref="S652">$Y$2+MMULT(C652:R652,$Y$3:$Y$18)</f>
        <v>-3.6665726384545141</v>
      </c>
      <c r="T652" s="7">
        <f t="shared" si="21"/>
        <v>2.4926711935605642E-2</v>
      </c>
      <c r="U652" s="3">
        <f t="shared" si="20"/>
        <v>0</v>
      </c>
    </row>
    <row r="653" spans="1:21">
      <c r="A653" s="2">
        <v>652</v>
      </c>
      <c r="B653" s="2">
        <v>0</v>
      </c>
      <c r="C653" s="8">
        <f>(data!C653-AVERAGE(data!C:C))/_xlfn.STDEV.S(data!C:C)</f>
        <v>-1.1386477244616813</v>
      </c>
      <c r="D653" s="2">
        <v>1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8">
        <f>(data!J653-AVERAGE(data!J:J))/_xlfn.STDEV.S(data!J:J)</f>
        <v>0.10333081995301398</v>
      </c>
      <c r="K653" s="2">
        <v>0</v>
      </c>
      <c r="L653" s="2">
        <v>0</v>
      </c>
      <c r="M653" s="2">
        <v>0</v>
      </c>
      <c r="N653" s="2">
        <v>1</v>
      </c>
      <c r="O653" s="2">
        <v>0</v>
      </c>
      <c r="P653" s="2">
        <v>1</v>
      </c>
      <c r="Q653" s="2">
        <v>0</v>
      </c>
      <c r="R653" s="2">
        <v>0</v>
      </c>
      <c r="S653" s="6" cm="1">
        <f t="array" ref="S653">$Y$2+MMULT(C653:R653,$Y$3:$Y$18)</f>
        <v>-14.559195328832931</v>
      </c>
      <c r="T653" s="7">
        <f t="shared" si="21"/>
        <v>4.7535886913901464E-7</v>
      </c>
      <c r="U653" s="3">
        <f t="shared" si="20"/>
        <v>0</v>
      </c>
    </row>
    <row r="654" spans="1:21">
      <c r="A654" s="2">
        <v>653</v>
      </c>
      <c r="B654" s="2">
        <v>0</v>
      </c>
      <c r="C654" s="8">
        <f>(data!C654-AVERAGE(data!C:C))/_xlfn.STDEV.S(data!C:C)</f>
        <v>-0.84462222153298494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8">
        <f>(data!J654-AVERAGE(data!J:J))/_xlfn.STDEV.S(data!J:J)</f>
        <v>-0.63443372081320804</v>
      </c>
      <c r="K654" s="2">
        <v>0</v>
      </c>
      <c r="L654" s="2">
        <v>0</v>
      </c>
      <c r="M654" s="2">
        <v>0</v>
      </c>
      <c r="N654" s="2">
        <v>0</v>
      </c>
      <c r="O654" s="2">
        <v>1</v>
      </c>
      <c r="P654" s="2">
        <v>1</v>
      </c>
      <c r="Q654" s="2">
        <v>0</v>
      </c>
      <c r="R654" s="2">
        <v>0</v>
      </c>
      <c r="S654" s="6" cm="1">
        <f t="array" ref="S654">$Y$2+MMULT(C654:R654,$Y$3:$Y$18)</f>
        <v>-11.259230733066287</v>
      </c>
      <c r="T654" s="7">
        <f t="shared" si="21"/>
        <v>1.2887617120260174E-5</v>
      </c>
      <c r="U654" s="3">
        <f t="shared" si="20"/>
        <v>0</v>
      </c>
    </row>
    <row r="655" spans="1:21">
      <c r="A655" s="2">
        <v>654</v>
      </c>
      <c r="B655" s="2">
        <v>0</v>
      </c>
      <c r="C655" s="8">
        <f>(data!C655-AVERAGE(data!C:C))/_xlfn.STDEV.S(data!C:C)</f>
        <v>-1.0546404379106251</v>
      </c>
      <c r="D655" s="2">
        <v>1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8">
        <f>(data!J655-AVERAGE(data!J:J))/_xlfn.STDEV.S(data!J:J)</f>
        <v>0.39843663625950276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1</v>
      </c>
      <c r="Q655" s="2">
        <v>0</v>
      </c>
      <c r="R655" s="2">
        <v>0</v>
      </c>
      <c r="S655" s="6" cm="1">
        <f t="array" ref="S655">$Y$2+MMULT(C655:R655,$Y$3:$Y$18)</f>
        <v>-13.42136752268207</v>
      </c>
      <c r="T655" s="7">
        <f t="shared" si="21"/>
        <v>1.4831104713234033E-6</v>
      </c>
      <c r="U655" s="3">
        <f t="shared" si="20"/>
        <v>0</v>
      </c>
    </row>
    <row r="656" spans="1:21">
      <c r="A656" s="2">
        <v>655</v>
      </c>
      <c r="B656" s="2">
        <v>1</v>
      </c>
      <c r="C656" s="8">
        <f>(data!C656-AVERAGE(data!C:C))/_xlfn.STDEV.S(data!C:C)</f>
        <v>1.6755963749986986</v>
      </c>
      <c r="D656" s="2">
        <v>0</v>
      </c>
      <c r="E656" s="2">
        <v>1</v>
      </c>
      <c r="F656" s="2">
        <v>0</v>
      </c>
      <c r="G656" s="2">
        <v>1</v>
      </c>
      <c r="H656" s="2">
        <v>0</v>
      </c>
      <c r="I656" s="2">
        <v>0</v>
      </c>
      <c r="J656" s="8">
        <f>(data!J656-AVERAGE(data!J:J))/_xlfn.STDEV.S(data!J:J)</f>
        <v>-0.70821017488983018</v>
      </c>
      <c r="K656" s="2">
        <v>1</v>
      </c>
      <c r="L656" s="2">
        <v>1</v>
      </c>
      <c r="M656" s="2">
        <v>0</v>
      </c>
      <c r="N656" s="2">
        <v>1</v>
      </c>
      <c r="O656" s="2">
        <v>1</v>
      </c>
      <c r="P656" s="2">
        <v>1</v>
      </c>
      <c r="Q656" s="2">
        <v>0</v>
      </c>
      <c r="R656" s="2">
        <v>0</v>
      </c>
      <c r="S656" s="6" cm="1">
        <f t="array" ref="S656">$Y$2+MMULT(C656:R656,$Y$3:$Y$18)</f>
        <v>1.7978989880718608</v>
      </c>
      <c r="T656" s="7">
        <f t="shared" si="21"/>
        <v>0.85789298780372714</v>
      </c>
      <c r="U656" s="3">
        <f t="shared" si="20"/>
        <v>1</v>
      </c>
    </row>
    <row r="657" spans="1:21">
      <c r="A657" s="2">
        <v>656</v>
      </c>
      <c r="B657" s="2">
        <v>0</v>
      </c>
      <c r="C657" s="8">
        <f>(data!C657-AVERAGE(data!C:C))/_xlfn.STDEV.S(data!C:C)</f>
        <v>1.5495854451721145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2">
        <v>0</v>
      </c>
      <c r="J657" s="8">
        <f>(data!J657-AVERAGE(data!J:J))/_xlfn.STDEV.S(data!J:J)</f>
        <v>2.6855067126347909</v>
      </c>
      <c r="K657" s="2">
        <v>0</v>
      </c>
      <c r="L657" s="2">
        <v>0</v>
      </c>
      <c r="M657" s="2">
        <v>1</v>
      </c>
      <c r="N657" s="2">
        <v>1</v>
      </c>
      <c r="O657" s="2">
        <v>1</v>
      </c>
      <c r="P657" s="2">
        <v>1</v>
      </c>
      <c r="Q657" s="2">
        <v>0</v>
      </c>
      <c r="R657" s="2">
        <v>0</v>
      </c>
      <c r="S657" s="6" cm="1">
        <f t="array" ref="S657">$Y$2+MMULT(C657:R657,$Y$3:$Y$18)</f>
        <v>2.5551659824310171</v>
      </c>
      <c r="T657" s="7">
        <f t="shared" si="21"/>
        <v>0.92791980426618736</v>
      </c>
      <c r="U657" s="3">
        <f t="shared" si="20"/>
        <v>1</v>
      </c>
    </row>
    <row r="658" spans="1:21">
      <c r="A658" s="2">
        <v>657</v>
      </c>
      <c r="B658" s="2">
        <v>0</v>
      </c>
      <c r="C658" s="8">
        <f>(data!C658-AVERAGE(data!C:C))/_xlfn.STDEV.S(data!C:C)</f>
        <v>-8.8556642573479852E-2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8">
        <f>(data!J658-AVERAGE(data!J:J))/_xlfn.STDEV.S(data!J:J)</f>
        <v>-0.26555145043009704</v>
      </c>
      <c r="K658" s="2">
        <v>0</v>
      </c>
      <c r="L658" s="2">
        <v>1</v>
      </c>
      <c r="M658" s="2">
        <v>0</v>
      </c>
      <c r="N658" s="2">
        <v>1</v>
      </c>
      <c r="O658" s="2">
        <v>0</v>
      </c>
      <c r="P658" s="2">
        <v>1</v>
      </c>
      <c r="Q658" s="2">
        <v>0</v>
      </c>
      <c r="R658" s="2">
        <v>0</v>
      </c>
      <c r="S658" s="6" cm="1">
        <f t="array" ref="S658">$Y$2+MMULT(C658:R658,$Y$3:$Y$18)</f>
        <v>-9.5350364737721733</v>
      </c>
      <c r="T658" s="7">
        <f t="shared" si="21"/>
        <v>7.2269472923277574E-5</v>
      </c>
      <c r="U658" s="3">
        <f t="shared" si="20"/>
        <v>0</v>
      </c>
    </row>
    <row r="659" spans="1:21">
      <c r="A659" s="2">
        <v>658</v>
      </c>
      <c r="B659" s="2">
        <v>0</v>
      </c>
      <c r="C659" s="8">
        <f>(data!C659-AVERAGE(data!C:C))/_xlfn.STDEV.S(data!C:C)</f>
        <v>0.9615344393147216</v>
      </c>
      <c r="D659" s="2">
        <v>0</v>
      </c>
      <c r="E659" s="2">
        <v>1</v>
      </c>
      <c r="F659" s="2">
        <v>1</v>
      </c>
      <c r="G659" s="2">
        <v>1</v>
      </c>
      <c r="H659" s="2">
        <v>0</v>
      </c>
      <c r="I659" s="2">
        <v>0</v>
      </c>
      <c r="J659" s="8">
        <f>(data!J659-AVERAGE(data!J:J))/_xlfn.STDEV.S(data!J:J)</f>
        <v>-0.63443372081320804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>
        <v>1</v>
      </c>
      <c r="Q659" s="2">
        <v>0</v>
      </c>
      <c r="R659" s="2">
        <v>0</v>
      </c>
      <c r="S659" s="6" cm="1">
        <f t="array" ref="S659">$Y$2+MMULT(C659:R659,$Y$3:$Y$18)</f>
        <v>-1.5195588452005935</v>
      </c>
      <c r="T659" s="7">
        <f t="shared" si="21"/>
        <v>0.17952649088006387</v>
      </c>
      <c r="U659" s="3">
        <f t="shared" si="20"/>
        <v>0</v>
      </c>
    </row>
    <row r="660" spans="1:21">
      <c r="A660" s="2">
        <v>659</v>
      </c>
      <c r="B660" s="2">
        <v>1</v>
      </c>
      <c r="C660" s="8">
        <f>(data!C660-AVERAGE(data!C:C))/_xlfn.STDEV.S(data!C:C)</f>
        <v>0.5835016498349691</v>
      </c>
      <c r="D660" s="2">
        <v>1</v>
      </c>
      <c r="E660" s="2">
        <v>1</v>
      </c>
      <c r="F660" s="2">
        <v>0</v>
      </c>
      <c r="G660" s="2">
        <v>0</v>
      </c>
      <c r="H660" s="2">
        <v>0</v>
      </c>
      <c r="I660" s="2">
        <v>0</v>
      </c>
      <c r="J660" s="8">
        <f>(data!J660-AVERAGE(data!J:J))/_xlfn.STDEV.S(data!J:J)</f>
        <v>-0.19177499635347484</v>
      </c>
      <c r="K660" s="2">
        <v>0</v>
      </c>
      <c r="L660" s="2">
        <v>1</v>
      </c>
      <c r="M660" s="2">
        <v>1</v>
      </c>
      <c r="N660" s="2">
        <v>1</v>
      </c>
      <c r="O660" s="2">
        <v>1</v>
      </c>
      <c r="P660" s="2">
        <v>1</v>
      </c>
      <c r="Q660" s="2">
        <v>0</v>
      </c>
      <c r="R660" s="2">
        <v>0</v>
      </c>
      <c r="S660" s="6" cm="1">
        <f t="array" ref="S660">$Y$2+MMULT(C660:R660,$Y$3:$Y$18)</f>
        <v>-2.2315612258373778</v>
      </c>
      <c r="T660" s="7">
        <f t="shared" si="21"/>
        <v>9.6951866189235236E-2</v>
      </c>
      <c r="U660" s="3">
        <f t="shared" si="20"/>
        <v>0</v>
      </c>
    </row>
    <row r="661" spans="1:21">
      <c r="A661" s="2">
        <v>660</v>
      </c>
      <c r="B661" s="2">
        <v>0</v>
      </c>
      <c r="C661" s="8">
        <f>(data!C661-AVERAGE(data!C:C))/_xlfn.STDEV.S(data!C:C)</f>
        <v>-0.34057850222664821</v>
      </c>
      <c r="D661" s="2">
        <v>1</v>
      </c>
      <c r="E661" s="2">
        <v>1</v>
      </c>
      <c r="F661" s="2">
        <v>0</v>
      </c>
      <c r="G661" s="2">
        <v>0</v>
      </c>
      <c r="H661" s="2">
        <v>1</v>
      </c>
      <c r="I661" s="2">
        <v>0</v>
      </c>
      <c r="J661" s="8">
        <f>(data!J661-AVERAGE(data!J:J))/_xlfn.STDEV.S(data!J:J)</f>
        <v>0.76731890664261382</v>
      </c>
      <c r="K661" s="2">
        <v>0</v>
      </c>
      <c r="L661" s="2">
        <v>0</v>
      </c>
      <c r="M661" s="2">
        <v>1</v>
      </c>
      <c r="N661" s="2">
        <v>1</v>
      </c>
      <c r="O661" s="2">
        <v>1</v>
      </c>
      <c r="P661" s="2">
        <v>1</v>
      </c>
      <c r="Q661" s="2">
        <v>0</v>
      </c>
      <c r="R661" s="2">
        <v>0</v>
      </c>
      <c r="S661" s="6" cm="1">
        <f t="array" ref="S661">$Y$2+MMULT(C661:R661,$Y$3:$Y$18)</f>
        <v>-9.1908095224349573</v>
      </c>
      <c r="T661" s="7">
        <f t="shared" si="21"/>
        <v>1.0196188514952385E-4</v>
      </c>
      <c r="U661" s="3">
        <f t="shared" si="20"/>
        <v>0</v>
      </c>
    </row>
    <row r="662" spans="1:21">
      <c r="A662" s="2">
        <v>661</v>
      </c>
      <c r="B662" s="2">
        <v>0</v>
      </c>
      <c r="C662" s="8">
        <f>(data!C662-AVERAGE(data!C:C))/_xlfn.STDEV.S(data!C:C)</f>
        <v>-1.3066622975637936</v>
      </c>
      <c r="D662" s="2">
        <v>1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8">
        <f>(data!J662-AVERAGE(data!J:J))/_xlfn.STDEV.S(data!J:J)</f>
        <v>0.17710727402963619</v>
      </c>
      <c r="K662" s="2">
        <v>0</v>
      </c>
      <c r="L662" s="2">
        <v>1</v>
      </c>
      <c r="M662" s="2">
        <v>0</v>
      </c>
      <c r="N662" s="2">
        <v>1</v>
      </c>
      <c r="O662" s="2">
        <v>1</v>
      </c>
      <c r="P662" s="2">
        <v>1</v>
      </c>
      <c r="Q662" s="2">
        <v>0</v>
      </c>
      <c r="R662" s="2">
        <v>0</v>
      </c>
      <c r="S662" s="6" cm="1">
        <f t="array" ref="S662">$Y$2+MMULT(C662:R662,$Y$3:$Y$18)</f>
        <v>-14.650946548372609</v>
      </c>
      <c r="T662" s="7">
        <f t="shared" si="21"/>
        <v>4.3368516946885197E-7</v>
      </c>
      <c r="U662" s="3">
        <f t="shared" si="20"/>
        <v>0</v>
      </c>
    </row>
    <row r="663" spans="1:21">
      <c r="A663" s="2">
        <v>662</v>
      </c>
      <c r="B663" s="2">
        <v>0</v>
      </c>
      <c r="C663" s="8">
        <f>(data!C663-AVERAGE(data!C:C))/_xlfn.STDEV.S(data!C:C)</f>
        <v>0.20546886035521655</v>
      </c>
      <c r="D663" s="2">
        <v>1</v>
      </c>
      <c r="E663" s="2">
        <v>0</v>
      </c>
      <c r="F663" s="2">
        <v>1</v>
      </c>
      <c r="G663" s="2">
        <v>1</v>
      </c>
      <c r="H663" s="2">
        <v>0</v>
      </c>
      <c r="I663" s="2">
        <v>0</v>
      </c>
      <c r="J663" s="8">
        <f>(data!J663-AVERAGE(data!J:J))/_xlfn.STDEV.S(data!J:J)</f>
        <v>-0.41310435858334144</v>
      </c>
      <c r="K663" s="2">
        <v>0</v>
      </c>
      <c r="L663" s="2">
        <v>0</v>
      </c>
      <c r="M663" s="2">
        <v>1</v>
      </c>
      <c r="N663" s="2">
        <v>1</v>
      </c>
      <c r="O663" s="2">
        <v>1</v>
      </c>
      <c r="P663" s="2">
        <v>1</v>
      </c>
      <c r="Q663" s="2">
        <v>0</v>
      </c>
      <c r="R663" s="2">
        <v>0</v>
      </c>
      <c r="S663" s="6" cm="1">
        <f t="array" ref="S663">$Y$2+MMULT(C663:R663,$Y$3:$Y$18)</f>
        <v>-4.9954243177880091</v>
      </c>
      <c r="T663" s="7">
        <f t="shared" si="21"/>
        <v>6.7233390841288229E-3</v>
      </c>
      <c r="U663" s="3">
        <f t="shared" si="20"/>
        <v>0</v>
      </c>
    </row>
    <row r="664" spans="1:21">
      <c r="A664" s="2">
        <v>663</v>
      </c>
      <c r="B664" s="2">
        <v>0</v>
      </c>
      <c r="C664" s="8">
        <f>(data!C664-AVERAGE(data!C:C))/_xlfn.STDEV.S(data!C:C)</f>
        <v>1.6755963749986986</v>
      </c>
      <c r="D664" s="2">
        <v>1</v>
      </c>
      <c r="E664" s="2">
        <v>1</v>
      </c>
      <c r="F664" s="2">
        <v>1</v>
      </c>
      <c r="G664" s="2">
        <v>0</v>
      </c>
      <c r="H664" s="2">
        <v>0</v>
      </c>
      <c r="I664" s="2">
        <v>0</v>
      </c>
      <c r="J664" s="8">
        <f>(data!J664-AVERAGE(data!J:J))/_xlfn.STDEV.S(data!J:J)</f>
        <v>-1.0770924452729411</v>
      </c>
      <c r="K664" s="2">
        <v>0</v>
      </c>
      <c r="L664" s="2">
        <v>0</v>
      </c>
      <c r="M664" s="2">
        <v>1</v>
      </c>
      <c r="N664" s="2">
        <v>1</v>
      </c>
      <c r="O664" s="2">
        <v>1</v>
      </c>
      <c r="P664" s="2">
        <v>1</v>
      </c>
      <c r="Q664" s="2">
        <v>0</v>
      </c>
      <c r="R664" s="2">
        <v>0</v>
      </c>
      <c r="S664" s="6" cm="1">
        <f t="array" ref="S664">$Y$2+MMULT(C664:R664,$Y$3:$Y$18)</f>
        <v>3.9865021743162554</v>
      </c>
      <c r="T664" s="7">
        <f t="shared" si="21"/>
        <v>0.98177382430140836</v>
      </c>
      <c r="U664" s="3">
        <f t="shared" si="20"/>
        <v>1</v>
      </c>
    </row>
    <row r="665" spans="1:21">
      <c r="A665" s="2">
        <v>664</v>
      </c>
      <c r="B665" s="2">
        <v>0</v>
      </c>
      <c r="C665" s="8">
        <f>(data!C665-AVERAGE(data!C:C))/_xlfn.STDEV.S(data!C:C)</f>
        <v>-0.34057850222664821</v>
      </c>
      <c r="D665" s="2">
        <v>1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8">
        <f>(data!J665-AVERAGE(data!J:J))/_xlfn.STDEV.S(data!J:J)</f>
        <v>-0.41310435858334144</v>
      </c>
      <c r="K665" s="2">
        <v>0</v>
      </c>
      <c r="L665" s="2">
        <v>1</v>
      </c>
      <c r="M665" s="2">
        <v>1</v>
      </c>
      <c r="N665" s="2">
        <v>1</v>
      </c>
      <c r="O665" s="2">
        <v>1</v>
      </c>
      <c r="P665" s="2">
        <v>1</v>
      </c>
      <c r="Q665" s="2">
        <v>0</v>
      </c>
      <c r="R665" s="2">
        <v>0</v>
      </c>
      <c r="S665" s="6" cm="1">
        <f t="array" ref="S665">$Y$2+MMULT(C665:R665,$Y$3:$Y$18)</f>
        <v>-7.7464285417998928</v>
      </c>
      <c r="T665" s="7">
        <f t="shared" si="21"/>
        <v>4.3209688153008632E-4</v>
      </c>
      <c r="U665" s="3">
        <f t="shared" si="20"/>
        <v>0</v>
      </c>
    </row>
    <row r="666" spans="1:21">
      <c r="A666" s="2">
        <v>665</v>
      </c>
      <c r="B666" s="2">
        <v>0</v>
      </c>
      <c r="C666" s="8">
        <f>(data!C666-AVERAGE(data!C:C))/_xlfn.STDEV.S(data!C:C)</f>
        <v>-0.55059671860428849</v>
      </c>
      <c r="D666" s="2">
        <v>0</v>
      </c>
      <c r="E666" s="2">
        <v>0</v>
      </c>
      <c r="F666" s="2">
        <v>0</v>
      </c>
      <c r="G666" s="2">
        <v>1</v>
      </c>
      <c r="H666" s="2">
        <v>0</v>
      </c>
      <c r="I666" s="2">
        <v>0</v>
      </c>
      <c r="J666" s="8">
        <f>(data!J666-AVERAGE(data!J:J))/_xlfn.STDEV.S(data!J:J)</f>
        <v>-0.70821017488983018</v>
      </c>
      <c r="K666" s="2">
        <v>0</v>
      </c>
      <c r="L666" s="2">
        <v>1</v>
      </c>
      <c r="M666" s="2">
        <v>1</v>
      </c>
      <c r="N666" s="2">
        <v>1</v>
      </c>
      <c r="O666" s="2">
        <v>0</v>
      </c>
      <c r="P666" s="2">
        <v>1</v>
      </c>
      <c r="Q666" s="2">
        <v>0</v>
      </c>
      <c r="R666" s="2">
        <v>0</v>
      </c>
      <c r="S666" s="6" cm="1">
        <f t="array" ref="S666">$Y$2+MMULT(C666:R666,$Y$3:$Y$18)</f>
        <v>-11.792420951248214</v>
      </c>
      <c r="T666" s="7">
        <f t="shared" si="21"/>
        <v>7.5615942311274104E-6</v>
      </c>
      <c r="U666" s="3">
        <f t="shared" si="20"/>
        <v>0</v>
      </c>
    </row>
    <row r="667" spans="1:21">
      <c r="A667" s="2">
        <v>666</v>
      </c>
      <c r="B667" s="2">
        <v>0</v>
      </c>
      <c r="C667" s="8">
        <f>(data!C667-AVERAGE(data!C:C))/_xlfn.STDEV.S(data!C:C)</f>
        <v>-1.1386477244616813</v>
      </c>
      <c r="D667" s="2">
        <v>1</v>
      </c>
      <c r="E667" s="2">
        <v>1</v>
      </c>
      <c r="F667" s="2">
        <v>0</v>
      </c>
      <c r="G667" s="2">
        <v>0</v>
      </c>
      <c r="H667" s="2">
        <v>0</v>
      </c>
      <c r="I667" s="2">
        <v>0</v>
      </c>
      <c r="J667" s="8">
        <f>(data!J667-AVERAGE(data!J:J))/_xlfn.STDEV.S(data!J:J)</f>
        <v>2.9554365876391778E-2</v>
      </c>
      <c r="K667" s="2">
        <v>0</v>
      </c>
      <c r="L667" s="2">
        <v>0</v>
      </c>
      <c r="M667" s="2">
        <v>1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  <c r="S667" s="6" cm="1">
        <f t="array" ref="S667">$Y$2+MMULT(C667:R667,$Y$3:$Y$18)</f>
        <v>-8.1090796404783525</v>
      </c>
      <c r="T667" s="7">
        <f t="shared" si="21"/>
        <v>3.0070513513847492E-4</v>
      </c>
      <c r="U667" s="3">
        <f t="shared" si="20"/>
        <v>0</v>
      </c>
    </row>
    <row r="668" spans="1:21">
      <c r="A668" s="2">
        <v>667</v>
      </c>
      <c r="B668" s="2">
        <v>1</v>
      </c>
      <c r="C668" s="8">
        <f>(data!C668-AVERAGE(data!C:C))/_xlfn.STDEV.S(data!C:C)</f>
        <v>1.6755963749986986</v>
      </c>
      <c r="D668" s="2">
        <v>1</v>
      </c>
      <c r="E668" s="2">
        <v>1</v>
      </c>
      <c r="F668" s="2">
        <v>1</v>
      </c>
      <c r="G668" s="2">
        <v>0</v>
      </c>
      <c r="H668" s="2">
        <v>1</v>
      </c>
      <c r="I668" s="2">
        <v>0</v>
      </c>
      <c r="J668" s="8">
        <f>(data!J668-AVERAGE(data!J:J))/_xlfn.STDEV.S(data!J:J)</f>
        <v>-0.78198662896645244</v>
      </c>
      <c r="K668" s="2">
        <v>0</v>
      </c>
      <c r="L668" s="2">
        <v>0</v>
      </c>
      <c r="M668" s="2">
        <v>1</v>
      </c>
      <c r="N668" s="2">
        <v>1</v>
      </c>
      <c r="O668" s="2">
        <v>1</v>
      </c>
      <c r="P668" s="2">
        <v>1</v>
      </c>
      <c r="Q668" s="2">
        <v>0</v>
      </c>
      <c r="R668" s="2">
        <v>0</v>
      </c>
      <c r="S668" s="6" cm="1">
        <f t="array" ref="S668">$Y$2+MMULT(C668:R668,$Y$3:$Y$18)</f>
        <v>1.3045017892405113</v>
      </c>
      <c r="T668" s="7">
        <f t="shared" si="21"/>
        <v>0.78659165186415347</v>
      </c>
      <c r="U668" s="3">
        <f t="shared" si="20"/>
        <v>1</v>
      </c>
    </row>
    <row r="669" spans="1:21">
      <c r="A669" s="2">
        <v>668</v>
      </c>
      <c r="B669" s="2">
        <v>0</v>
      </c>
      <c r="C669" s="8">
        <f>(data!C669-AVERAGE(data!C:C))/_xlfn.STDEV.S(data!C:C)</f>
        <v>-0.59260036187981657</v>
      </c>
      <c r="D669" s="2">
        <v>0</v>
      </c>
      <c r="E669" s="2">
        <v>1</v>
      </c>
      <c r="F669" s="2">
        <v>0</v>
      </c>
      <c r="G669" s="2">
        <v>0</v>
      </c>
      <c r="H669" s="2">
        <v>0</v>
      </c>
      <c r="I669" s="2">
        <v>0</v>
      </c>
      <c r="J669" s="8">
        <f>(data!J669-AVERAGE(data!J:J))/_xlfn.STDEV.S(data!J:J)</f>
        <v>0.17710727402963619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1</v>
      </c>
      <c r="Q669" s="2">
        <v>0</v>
      </c>
      <c r="R669" s="2">
        <v>0</v>
      </c>
      <c r="S669" s="6" cm="1">
        <f t="array" ref="S669">$Y$2+MMULT(C669:R669,$Y$3:$Y$18)</f>
        <v>-11.102030455016834</v>
      </c>
      <c r="T669" s="7">
        <f t="shared" si="21"/>
        <v>1.508144260387219E-5</v>
      </c>
      <c r="U669" s="3">
        <f t="shared" si="20"/>
        <v>0</v>
      </c>
    </row>
    <row r="670" spans="1:21">
      <c r="A670" s="2">
        <v>669</v>
      </c>
      <c r="B670" s="2">
        <v>0</v>
      </c>
      <c r="C670" s="8">
        <f>(data!C670-AVERAGE(data!C:C))/_xlfn.STDEV.S(data!C:C)</f>
        <v>-0.34057850222664821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8">
        <f>(data!J670-AVERAGE(data!J:J))/_xlfn.STDEV.S(data!J:J)</f>
        <v>-0.85576308304307458</v>
      </c>
      <c r="K670" s="2">
        <v>0</v>
      </c>
      <c r="L670" s="2">
        <v>1</v>
      </c>
      <c r="M670" s="2">
        <v>1</v>
      </c>
      <c r="N670" s="2">
        <v>1</v>
      </c>
      <c r="O670" s="2">
        <v>1</v>
      </c>
      <c r="P670" s="2">
        <v>1</v>
      </c>
      <c r="Q670" s="2">
        <v>0</v>
      </c>
      <c r="R670" s="2">
        <v>0</v>
      </c>
      <c r="S670" s="6" cm="1">
        <f t="array" ref="S670">$Y$2+MMULT(C670:R670,$Y$3:$Y$18)</f>
        <v>-8.009010717616647</v>
      </c>
      <c r="T670" s="7">
        <f t="shared" si="21"/>
        <v>3.323429581310488E-4</v>
      </c>
      <c r="U670" s="3">
        <f t="shared" si="20"/>
        <v>0</v>
      </c>
    </row>
    <row r="671" spans="1:21">
      <c r="A671" s="2">
        <v>670</v>
      </c>
      <c r="B671" s="2">
        <v>0</v>
      </c>
      <c r="C671" s="8">
        <f>(data!C671-AVERAGE(data!C:C))/_xlfn.STDEV.S(data!C:C)</f>
        <v>-1.3486659408393216</v>
      </c>
      <c r="D671" s="2">
        <v>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8">
        <f>(data!J671-AVERAGE(data!J:J))/_xlfn.STDEV.S(data!J:J)</f>
        <v>-0.48688081265996364</v>
      </c>
      <c r="K671" s="2">
        <v>0</v>
      </c>
      <c r="L671" s="2">
        <v>1</v>
      </c>
      <c r="M671" s="2">
        <v>0</v>
      </c>
      <c r="N671" s="2">
        <v>1</v>
      </c>
      <c r="O671" s="2">
        <v>0</v>
      </c>
      <c r="P671" s="2">
        <v>1</v>
      </c>
      <c r="Q671" s="2">
        <v>0</v>
      </c>
      <c r="R671" s="2">
        <v>0</v>
      </c>
      <c r="S671" s="6" cm="1">
        <f t="array" ref="S671">$Y$2+MMULT(C671:R671,$Y$3:$Y$18)</f>
        <v>-16.997449026186175</v>
      </c>
      <c r="T671" s="7">
        <f t="shared" si="21"/>
        <v>4.1505119009454253E-8</v>
      </c>
      <c r="U671" s="3">
        <f t="shared" si="20"/>
        <v>0</v>
      </c>
    </row>
    <row r="672" spans="1:21">
      <c r="A672" s="2">
        <v>671</v>
      </c>
      <c r="B672" s="2">
        <v>1</v>
      </c>
      <c r="C672" s="8">
        <f>(data!C672-AVERAGE(data!C:C))/_xlfn.STDEV.S(data!C:C)</f>
        <v>1.6755963749986986</v>
      </c>
      <c r="D672" s="2">
        <v>1</v>
      </c>
      <c r="E672" s="2">
        <v>1</v>
      </c>
      <c r="F672" s="2">
        <v>0</v>
      </c>
      <c r="G672" s="2">
        <v>1</v>
      </c>
      <c r="H672" s="2">
        <v>0</v>
      </c>
      <c r="I672" s="2">
        <v>0</v>
      </c>
      <c r="J672" s="8">
        <f>(data!J672-AVERAGE(data!J:J))/_xlfn.STDEV.S(data!J:J)</f>
        <v>2.5379538044815466</v>
      </c>
      <c r="K672" s="2">
        <v>0</v>
      </c>
      <c r="L672" s="2">
        <v>0</v>
      </c>
      <c r="M672" s="2">
        <v>1</v>
      </c>
      <c r="N672" s="2">
        <v>1</v>
      </c>
      <c r="O672" s="2">
        <v>1</v>
      </c>
      <c r="P672" s="2">
        <v>1</v>
      </c>
      <c r="Q672" s="2">
        <v>0</v>
      </c>
      <c r="R672" s="2">
        <v>0</v>
      </c>
      <c r="S672" s="6" cm="1">
        <f t="array" ref="S672">$Y$2+MMULT(C672:R672,$Y$3:$Y$18)</f>
        <v>5.9952835477702546</v>
      </c>
      <c r="T672" s="7">
        <f t="shared" si="21"/>
        <v>0.9975157163295908</v>
      </c>
      <c r="U672" s="3">
        <f t="shared" si="20"/>
        <v>1</v>
      </c>
    </row>
    <row r="673" spans="1:21">
      <c r="A673" s="2">
        <v>672</v>
      </c>
      <c r="B673" s="2">
        <v>1</v>
      </c>
      <c r="C673" s="8">
        <f>(data!C673-AVERAGE(data!C:C))/_xlfn.STDEV.S(data!C:C)</f>
        <v>0.66750893638602515</v>
      </c>
      <c r="D673" s="2">
        <v>1</v>
      </c>
      <c r="E673" s="2">
        <v>1</v>
      </c>
      <c r="F673" s="2">
        <v>0</v>
      </c>
      <c r="G673" s="2">
        <v>1</v>
      </c>
      <c r="H673" s="2">
        <v>0</v>
      </c>
      <c r="I673" s="2">
        <v>0</v>
      </c>
      <c r="J673" s="8">
        <f>(data!J673-AVERAGE(data!J:J))/_xlfn.STDEV.S(data!J:J)</f>
        <v>-0.56065726673658578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1</v>
      </c>
      <c r="Q673" s="2">
        <v>0</v>
      </c>
      <c r="R673" s="2">
        <v>0</v>
      </c>
      <c r="S673" s="6" cm="1">
        <f t="array" ref="S673">$Y$2+MMULT(C673:R673,$Y$3:$Y$18)</f>
        <v>-2.4469012206241252</v>
      </c>
      <c r="T673" s="7">
        <f t="shared" si="21"/>
        <v>7.9665452451898613E-2</v>
      </c>
      <c r="U673" s="3">
        <f t="shared" si="20"/>
        <v>0</v>
      </c>
    </row>
    <row r="674" spans="1:21">
      <c r="A674" s="2">
        <v>673</v>
      </c>
      <c r="B674" s="2">
        <v>0</v>
      </c>
      <c r="C674" s="8">
        <f>(data!C674-AVERAGE(data!C:C))/_xlfn.STDEV.S(data!C:C)</f>
        <v>-1.0126367946350971</v>
      </c>
      <c r="D674" s="2">
        <v>0</v>
      </c>
      <c r="E674" s="2">
        <v>1</v>
      </c>
      <c r="F674" s="2">
        <v>0</v>
      </c>
      <c r="G674" s="2">
        <v>0</v>
      </c>
      <c r="H674" s="2">
        <v>0</v>
      </c>
      <c r="I674" s="2">
        <v>1</v>
      </c>
      <c r="J674" s="8">
        <f>(data!J674-AVERAGE(data!J:J))/_xlfn.STDEV.S(data!J:J)</f>
        <v>-0.48688081265996364</v>
      </c>
      <c r="K674" s="2">
        <v>0</v>
      </c>
      <c r="L674" s="2">
        <v>1</v>
      </c>
      <c r="M674" s="2">
        <v>0</v>
      </c>
      <c r="N674" s="2">
        <v>0</v>
      </c>
      <c r="O674" s="2">
        <v>0</v>
      </c>
      <c r="P674" s="2">
        <v>1</v>
      </c>
      <c r="Q674" s="2">
        <v>0</v>
      </c>
      <c r="R674" s="2">
        <v>0</v>
      </c>
      <c r="S674" s="6" cm="1">
        <f t="array" ref="S674">$Y$2+MMULT(C674:R674,$Y$3:$Y$18)</f>
        <v>-13.990646024984009</v>
      </c>
      <c r="T674" s="7">
        <f t="shared" si="21"/>
        <v>8.3934260523402919E-7</v>
      </c>
      <c r="U674" s="3">
        <f t="shared" si="20"/>
        <v>0</v>
      </c>
    </row>
    <row r="675" spans="1:21">
      <c r="A675" s="1">
        <v>674</v>
      </c>
      <c r="C675" s="8">
        <f>(data!C675-AVERAGE(data!C:C))/_xlfn.STDEV.S(data!C:C)</f>
        <v>0.83552350948813747</v>
      </c>
      <c r="D675" s="2">
        <v>0</v>
      </c>
      <c r="E675" s="2">
        <v>1</v>
      </c>
      <c r="F675" s="2">
        <v>0</v>
      </c>
      <c r="G675" s="2">
        <v>0</v>
      </c>
      <c r="H675" s="2">
        <v>0</v>
      </c>
      <c r="I675" s="2">
        <v>1</v>
      </c>
      <c r="J675" s="8">
        <f>(data!J675-AVERAGE(data!J:J))/_xlfn.STDEV.S(data!J:J)</f>
        <v>-0.92953953711969683</v>
      </c>
      <c r="K675" s="2">
        <v>0</v>
      </c>
      <c r="L675" s="2">
        <v>1</v>
      </c>
      <c r="M675" s="2">
        <v>0</v>
      </c>
      <c r="N675" s="2">
        <v>0</v>
      </c>
      <c r="O675" s="2">
        <v>0</v>
      </c>
      <c r="P675" s="2">
        <v>1</v>
      </c>
      <c r="Q675" s="2">
        <v>0</v>
      </c>
      <c r="R675" s="2">
        <v>0</v>
      </c>
      <c r="S675" s="6" cm="1">
        <f t="array" ref="S675">$Y$2+MMULT(C675:R675,$Y$3:$Y$18)</f>
        <v>-3.238129185498559</v>
      </c>
      <c r="T675" s="7">
        <f t="shared" ref="T675" si="22">EXP(S675)/(1+EXP(S675))</f>
        <v>3.7755799012911317E-2</v>
      </c>
      <c r="U675" s="3">
        <f t="shared" si="20"/>
        <v>0</v>
      </c>
    </row>
  </sheetData>
  <mergeCells count="3">
    <mergeCell ref="AA2:AB3"/>
    <mergeCell ref="AC2:AD2"/>
    <mergeCell ref="AA4:AA5"/>
  </mergeCells>
  <phoneticPr fontId="4" type="noConversion"/>
  <conditionalFormatting sqref="C2:C67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{1D201F74-9CA5-490E-91AF-EC610299DFF0}</x14:id>
        </ext>
      </extLst>
    </cfRule>
  </conditionalFormatting>
  <conditionalFormatting sqref="J2:J67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{8DD66DAD-E8C9-46A4-A337-029F6D12C748}</x14:id>
        </ext>
      </extLst>
    </cfRule>
  </conditionalFormatting>
  <conditionalFormatting sqref="Y2:Y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{F31CC28B-5998-4CDD-8363-09B4E4021023}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201F74-9CA5-490E-91AF-EC610299DF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C2:C675</xm:sqref>
        </x14:conditionalFormatting>
        <x14:conditionalFormatting xmlns:xm="http://schemas.microsoft.com/office/excel/2006/main">
          <x14:cfRule type="dataBar" id="{8DD66DAD-E8C9-46A4-A337-029F6D12C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J2:J675</xm:sqref>
        </x14:conditionalFormatting>
        <x14:conditionalFormatting xmlns:xm="http://schemas.microsoft.com/office/excel/2006/main">
          <x14:cfRule type="dataBar" id="{F31CC28B-5998-4CDD-8363-09B4E40210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Y2:Y18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11</vt:i4>
      </vt:variant>
    </vt:vector>
  </HeadingPairs>
  <TitlesOfParts>
    <vt:vector size="13" baseType="lpstr">
      <vt:lpstr>data</vt:lpstr>
      <vt:lpstr>data (2)</vt:lpstr>
      <vt:lpstr>Accuracy</vt:lpstr>
      <vt:lpstr>cut</vt:lpstr>
      <vt:lpstr>F1_score</vt:lpstr>
      <vt:lpstr>FN</vt:lpstr>
      <vt:lpstr>FP</vt:lpstr>
      <vt:lpstr>Precision</vt:lpstr>
      <vt:lpstr>Recall</vt:lpstr>
      <vt:lpstr>TN</vt:lpstr>
      <vt:lpstr>TP</vt:lpstr>
      <vt:lpstr>구독여부</vt:lpstr>
      <vt:lpstr>구독예측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백승훈</dc:creator>
  <cp:lastModifiedBy>백승훈</cp:lastModifiedBy>
  <dcterms:created xsi:type="dcterms:W3CDTF">2017-11-19T10:54:18Z</dcterms:created>
  <dcterms:modified xsi:type="dcterms:W3CDTF">2024-10-16T06:20:06Z</dcterms:modified>
</cp:coreProperties>
</file>